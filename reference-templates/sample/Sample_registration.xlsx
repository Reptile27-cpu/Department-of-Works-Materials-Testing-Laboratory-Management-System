
<file path=[Content_Types].xml><?xml version="1.0" encoding="utf-8"?>
<Types xmlns="http://schemas.openxmlformats.org/package/2006/content-types">
  <Default Extension="wmf" ContentType="image/x-wmf"/>
  <Default Extension="vml" ContentType="application/vnd.openxmlformats-officedocument.vmlDrawing"/>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500" tabRatio="648" activeTab="7"/>
  </bookViews>
  <sheets>
    <sheet name="SOILS" sheetId="23" r:id="rId1"/>
    <sheet name="AGGREGATE" sheetId="1" r:id="rId2"/>
    <sheet name="CONCRETE" sheetId="5" r:id="rId3"/>
    <sheet name="ROCK" sheetId="7" r:id="rId4"/>
    <sheet name="FIELD" sheetId="9" r:id="rId5"/>
    <sheet name="PRICES" sheetId="25" r:id="rId6"/>
    <sheet name="EQUIP INVENTORY" sheetId="26" r:id="rId7"/>
    <sheet name="PERSONAL " sheetId="30" r:id="rId8"/>
    <sheet name="TEST FORMS" sheetId="27" r:id="rId9"/>
    <sheet name="TEST TYPE" sheetId="29" r:id="rId10"/>
  </sheets>
  <definedNames>
    <definedName name="_xlnm.Print_Area" localSheetId="1">AGGREGATE!$A$20:$J$107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LEKA H BONORO</author>
  </authors>
  <commentList>
    <comment ref="D8" authorId="0">
      <text>
        <r>
          <rPr>
            <b/>
            <sz val="9"/>
            <rFont val="Times New Roman"/>
            <charset val="0"/>
          </rPr>
          <t>LEKA H BONORO:</t>
        </r>
        <r>
          <rPr>
            <sz val="9"/>
            <rFont val="Times New Roman"/>
            <charset val="0"/>
          </rPr>
          <t xml:space="preserve">
Click here and drop down name lists of personal pops up for selection</t>
        </r>
      </text>
    </comment>
    <comment ref="G8" authorId="0">
      <text>
        <r>
          <rPr>
            <b/>
            <sz val="9"/>
            <rFont val="Times New Roman"/>
            <charset val="0"/>
          </rPr>
          <t>LEKA H BONORO:</t>
        </r>
        <r>
          <rPr>
            <sz val="9"/>
            <rFont val="Times New Roman"/>
            <charset val="0"/>
          </rPr>
          <t xml:space="preserve">
Click here and the drop down list for sample description pops up for selection</t>
        </r>
      </text>
    </comment>
    <comment ref="H8" authorId="0">
      <text>
        <r>
          <rPr>
            <b/>
            <sz val="9"/>
            <rFont val="Times New Roman"/>
            <charset val="0"/>
          </rPr>
          <t>LEKA H BONORO:</t>
        </r>
        <r>
          <rPr>
            <sz val="9"/>
            <rFont val="Times New Roman"/>
            <charset val="0"/>
          </rPr>
          <t xml:space="preserve">
Click here and drop down list for personals pops up for selection</t>
        </r>
      </text>
    </comment>
    <comment ref="I8" authorId="0">
      <text>
        <r>
          <rPr>
            <b/>
            <sz val="9"/>
            <rFont val="Times New Roman"/>
            <charset val="0"/>
          </rPr>
          <t>LEKA H BONORO:</t>
        </r>
        <r>
          <rPr>
            <sz val="9"/>
            <rFont val="Times New Roman"/>
            <charset val="0"/>
          </rPr>
          <t xml:space="preserve">
click here and test form list pops up for selection</t>
        </r>
      </text>
    </comment>
    <comment ref="J8" authorId="0">
      <text>
        <r>
          <rPr>
            <b/>
            <sz val="9"/>
            <rFont val="Times New Roman"/>
            <charset val="0"/>
          </rPr>
          <t>LEKA H BONORO:</t>
        </r>
        <r>
          <rPr>
            <sz val="9"/>
            <rFont val="Times New Roman"/>
            <charset val="0"/>
          </rPr>
          <t xml:space="preserve">
click here and test form list pops up for selection</t>
        </r>
      </text>
    </comment>
    <comment ref="K8" authorId="0">
      <text>
        <r>
          <rPr>
            <b/>
            <sz val="9"/>
            <rFont val="Times New Roman"/>
            <charset val="0"/>
          </rPr>
          <t>LEKA H BONORO:</t>
        </r>
        <r>
          <rPr>
            <sz val="9"/>
            <rFont val="Times New Roman"/>
            <charset val="0"/>
          </rPr>
          <t xml:space="preserve">
click here and test form list pops up for selection</t>
        </r>
      </text>
    </comment>
    <comment ref="L8" authorId="0">
      <text>
        <r>
          <rPr>
            <b/>
            <sz val="9"/>
            <rFont val="Times New Roman"/>
            <charset val="0"/>
          </rPr>
          <t>LEKA H BONORO:</t>
        </r>
        <r>
          <rPr>
            <sz val="9"/>
            <rFont val="Times New Roman"/>
            <charset val="0"/>
          </rPr>
          <t xml:space="preserve">
click here and test form list pops up for selection</t>
        </r>
      </text>
    </comment>
    <comment ref="N8" authorId="0">
      <text>
        <r>
          <rPr>
            <b/>
            <sz val="9"/>
            <rFont val="Times New Roman"/>
            <charset val="0"/>
          </rPr>
          <t>LEKA H BONORO:</t>
        </r>
        <r>
          <rPr>
            <sz val="9"/>
            <rFont val="Times New Roman"/>
            <charset val="0"/>
          </rPr>
          <t xml:space="preserve">
click here and test form list pops up for selection</t>
        </r>
      </text>
    </comment>
    <comment ref="O8" authorId="0">
      <text>
        <r>
          <rPr>
            <b/>
            <sz val="9"/>
            <rFont val="Times New Roman"/>
            <charset val="0"/>
          </rPr>
          <t>LEKA H BONORO:</t>
        </r>
        <r>
          <rPr>
            <sz val="9"/>
            <rFont val="Times New Roman"/>
            <charset val="0"/>
          </rPr>
          <t xml:space="preserve">
click here and test form list pops up for selection</t>
        </r>
      </text>
    </comment>
    <comment ref="P8" authorId="0">
      <text>
        <r>
          <rPr>
            <b/>
            <sz val="9"/>
            <rFont val="Times New Roman"/>
            <charset val="0"/>
          </rPr>
          <t>LEKA H BONORO:</t>
        </r>
        <r>
          <rPr>
            <sz val="9"/>
            <rFont val="Times New Roman"/>
            <charset val="0"/>
          </rPr>
          <t xml:space="preserve">
click here and test form list pops up for selection</t>
        </r>
      </text>
    </comment>
    <comment ref="Q8" authorId="0">
      <text>
        <r>
          <rPr>
            <b/>
            <sz val="9"/>
            <rFont val="Times New Roman"/>
            <charset val="0"/>
          </rPr>
          <t>LEKA H BONORO:</t>
        </r>
        <r>
          <rPr>
            <sz val="9"/>
            <rFont val="Times New Roman"/>
            <charset val="0"/>
          </rPr>
          <t xml:space="preserve">
click here and test form list pops up for selection</t>
        </r>
      </text>
    </comment>
    <comment ref="R8" authorId="0">
      <text>
        <r>
          <rPr>
            <b/>
            <sz val="9"/>
            <rFont val="Times New Roman"/>
            <charset val="0"/>
          </rPr>
          <t>LEKA H BONORO:</t>
        </r>
        <r>
          <rPr>
            <sz val="9"/>
            <rFont val="Times New Roman"/>
            <charset val="0"/>
          </rPr>
          <t xml:space="preserve">
click here and test form list pops up for selection</t>
        </r>
      </text>
    </comment>
    <comment ref="S8" authorId="0">
      <text>
        <r>
          <rPr>
            <b/>
            <sz val="9"/>
            <rFont val="Times New Roman"/>
            <charset val="0"/>
          </rPr>
          <t>LEKA H BONORO:</t>
        </r>
        <r>
          <rPr>
            <sz val="9"/>
            <rFont val="Times New Roman"/>
            <charset val="0"/>
          </rPr>
          <t xml:space="preserve">
click here and test form list pops up for selection</t>
        </r>
      </text>
    </comment>
    <comment ref="T8" authorId="0">
      <text>
        <r>
          <rPr>
            <b/>
            <sz val="9"/>
            <rFont val="Times New Roman"/>
            <charset val="0"/>
          </rPr>
          <t>LEKA H BONORO:</t>
        </r>
        <r>
          <rPr>
            <sz val="9"/>
            <rFont val="Times New Roman"/>
            <charset val="0"/>
          </rPr>
          <t xml:space="preserve">
click here and test form list pops up for selection</t>
        </r>
      </text>
    </comment>
    <comment ref="U8" authorId="0">
      <text>
        <r>
          <rPr>
            <b/>
            <sz val="9"/>
            <rFont val="Times New Roman"/>
            <charset val="0"/>
          </rPr>
          <t>LEKA H BONORO:</t>
        </r>
        <r>
          <rPr>
            <sz val="9"/>
            <rFont val="Times New Roman"/>
            <charset val="0"/>
          </rPr>
          <t xml:space="preserve">
click here and test form list pops up for selection</t>
        </r>
      </text>
    </comment>
    <comment ref="I9" authorId="0">
      <text>
        <r>
          <rPr>
            <b/>
            <sz val="9"/>
            <rFont val="Times New Roman"/>
            <charset val="0"/>
          </rPr>
          <t>LEKA H BONORO:</t>
        </r>
        <r>
          <rPr>
            <sz val="9"/>
            <rFont val="Times New Roman"/>
            <charset val="0"/>
          </rPr>
          <t xml:space="preserve">
Click here and Equipment inventory pops up for right equipment selection</t>
        </r>
      </text>
    </comment>
    <comment ref="J9" authorId="0">
      <text>
        <r>
          <rPr>
            <b/>
            <sz val="9"/>
            <rFont val="Times New Roman"/>
            <charset val="0"/>
          </rPr>
          <t>LEKA H BONORO:</t>
        </r>
        <r>
          <rPr>
            <sz val="9"/>
            <rFont val="Times New Roman"/>
            <charset val="0"/>
          </rPr>
          <t xml:space="preserve">
Click here and Equipment inventory pops up for right equipment selection</t>
        </r>
      </text>
    </comment>
    <comment ref="K9" authorId="0">
      <text>
        <r>
          <rPr>
            <b/>
            <sz val="9"/>
            <rFont val="Times New Roman"/>
            <charset val="0"/>
          </rPr>
          <t>LEKA H BONORO:</t>
        </r>
        <r>
          <rPr>
            <sz val="9"/>
            <rFont val="Times New Roman"/>
            <charset val="0"/>
          </rPr>
          <t xml:space="preserve">
Click here and Equipment inventory pops up for right equipment selection</t>
        </r>
      </text>
    </comment>
    <comment ref="L9" authorId="0">
      <text>
        <r>
          <rPr>
            <b/>
            <sz val="9"/>
            <rFont val="Times New Roman"/>
            <charset val="0"/>
          </rPr>
          <t>LEKA H BONORO:</t>
        </r>
        <r>
          <rPr>
            <sz val="9"/>
            <rFont val="Times New Roman"/>
            <charset val="0"/>
          </rPr>
          <t xml:space="preserve">
Click here and Equipment inventory pops up for right equipment selection</t>
        </r>
      </text>
    </comment>
    <comment ref="N9" authorId="0">
      <text>
        <r>
          <rPr>
            <b/>
            <sz val="9"/>
            <rFont val="Times New Roman"/>
            <charset val="0"/>
          </rPr>
          <t>LEKA H BONORO:</t>
        </r>
        <r>
          <rPr>
            <sz val="9"/>
            <rFont val="Times New Roman"/>
            <charset val="0"/>
          </rPr>
          <t xml:space="preserve">
Click here and Equipment inventory pops up for right equipment selection</t>
        </r>
      </text>
    </comment>
    <comment ref="O9" authorId="0">
      <text>
        <r>
          <rPr>
            <b/>
            <sz val="9"/>
            <rFont val="Times New Roman"/>
            <charset val="0"/>
          </rPr>
          <t>LEKA H BONORO:</t>
        </r>
        <r>
          <rPr>
            <sz val="9"/>
            <rFont val="Times New Roman"/>
            <charset val="0"/>
          </rPr>
          <t xml:space="preserve">
Click here and Equipment inventory pops up for right equipment selection</t>
        </r>
      </text>
    </comment>
    <comment ref="P9" authorId="0">
      <text>
        <r>
          <rPr>
            <b/>
            <sz val="9"/>
            <rFont val="Times New Roman"/>
            <charset val="0"/>
          </rPr>
          <t>LEKA H BONORO:</t>
        </r>
        <r>
          <rPr>
            <sz val="9"/>
            <rFont val="Times New Roman"/>
            <charset val="0"/>
          </rPr>
          <t xml:space="preserve">
Click here and Equipment inventory pops up for right equipment selection</t>
        </r>
      </text>
    </comment>
    <comment ref="Q9" authorId="0">
      <text>
        <r>
          <rPr>
            <b/>
            <sz val="9"/>
            <rFont val="Times New Roman"/>
            <charset val="0"/>
          </rPr>
          <t>LEKA H BONORO:</t>
        </r>
        <r>
          <rPr>
            <sz val="9"/>
            <rFont val="Times New Roman"/>
            <charset val="0"/>
          </rPr>
          <t xml:space="preserve">
Click here and Equipment inventory pops up for right equipment selection</t>
        </r>
      </text>
    </comment>
    <comment ref="R9" authorId="0">
      <text>
        <r>
          <rPr>
            <b/>
            <sz val="9"/>
            <rFont val="Times New Roman"/>
            <charset val="0"/>
          </rPr>
          <t>LEKA H BONORO:</t>
        </r>
        <r>
          <rPr>
            <sz val="9"/>
            <rFont val="Times New Roman"/>
            <charset val="0"/>
          </rPr>
          <t xml:space="preserve">
Click here and Equipment inventory pops up for right equipment selection</t>
        </r>
      </text>
    </comment>
    <comment ref="S9" authorId="0">
      <text>
        <r>
          <rPr>
            <b/>
            <sz val="9"/>
            <rFont val="Times New Roman"/>
            <charset val="0"/>
          </rPr>
          <t>LEKA H BONORO:</t>
        </r>
        <r>
          <rPr>
            <sz val="9"/>
            <rFont val="Times New Roman"/>
            <charset val="0"/>
          </rPr>
          <t xml:space="preserve">
Click here and Equipment inventory pops up for right equipment selection</t>
        </r>
      </text>
    </comment>
    <comment ref="T9" authorId="0">
      <text>
        <r>
          <rPr>
            <b/>
            <sz val="9"/>
            <rFont val="Times New Roman"/>
            <charset val="0"/>
          </rPr>
          <t>LEKA H BONORO:</t>
        </r>
        <r>
          <rPr>
            <sz val="9"/>
            <rFont val="Times New Roman"/>
            <charset val="0"/>
          </rPr>
          <t xml:space="preserve">
Click here and Equipment inventory pops up for right equipment selection</t>
        </r>
      </text>
    </comment>
    <comment ref="U9" authorId="0">
      <text>
        <r>
          <rPr>
            <b/>
            <sz val="9"/>
            <rFont val="Times New Roman"/>
            <charset val="0"/>
          </rPr>
          <t>LEKA H BONORO:</t>
        </r>
        <r>
          <rPr>
            <sz val="9"/>
            <rFont val="Times New Roman"/>
            <charset val="0"/>
          </rPr>
          <t xml:space="preserve">
Click here and Equipment inventory pops up for right equipment selection</t>
        </r>
      </text>
    </comment>
  </commentList>
</comments>
</file>

<file path=xl/comments2.xml><?xml version="1.0" encoding="utf-8"?>
<comments xmlns="http://schemas.openxmlformats.org/spreadsheetml/2006/main">
  <authors>
    <author>LEKA H BONORO</author>
  </authors>
  <commentList>
    <comment ref="C8" authorId="0">
      <text>
        <r>
          <rPr>
            <b/>
            <sz val="9"/>
            <rFont val="Times New Roman"/>
            <charset val="0"/>
          </rPr>
          <t>LEKA H BONORO:</t>
        </r>
        <r>
          <rPr>
            <sz val="9"/>
            <rFont val="Times New Roman"/>
            <charset val="0"/>
          </rPr>
          <t xml:space="preserve">
Click here and drop down name lists of personal pops up for selection</t>
        </r>
      </text>
    </comment>
    <comment ref="F8" authorId="0">
      <text>
        <r>
          <rPr>
            <b/>
            <sz val="9"/>
            <rFont val="Times New Roman"/>
            <charset val="0"/>
          </rPr>
          <t>LEKA H BONORO:</t>
        </r>
        <r>
          <rPr>
            <sz val="9"/>
            <rFont val="Times New Roman"/>
            <charset val="0"/>
          </rPr>
          <t xml:space="preserve">
Click here and the drop down list for sample description pops up for selection</t>
        </r>
      </text>
    </comment>
    <comment ref="G8" authorId="0">
      <text>
        <r>
          <rPr>
            <b/>
            <sz val="9"/>
            <rFont val="Times New Roman"/>
            <charset val="0"/>
          </rPr>
          <t>LEKA H BONORO:</t>
        </r>
        <r>
          <rPr>
            <sz val="9"/>
            <rFont val="Times New Roman"/>
            <charset val="0"/>
          </rPr>
          <t xml:space="preserve">
Click here and drop down list for personals pops up for selection</t>
        </r>
      </text>
    </comment>
    <comment ref="H8" authorId="0">
      <text>
        <r>
          <rPr>
            <b/>
            <sz val="9"/>
            <rFont val="Times New Roman"/>
            <charset val="0"/>
          </rPr>
          <t>LEKA H BONORO:</t>
        </r>
        <r>
          <rPr>
            <sz val="9"/>
            <rFont val="Times New Roman"/>
            <charset val="0"/>
          </rPr>
          <t xml:space="preserve">
click here and test form list pops up for selection</t>
        </r>
      </text>
    </comment>
    <comment ref="I8" authorId="0">
      <text>
        <r>
          <rPr>
            <b/>
            <sz val="9"/>
            <rFont val="Times New Roman"/>
            <charset val="0"/>
          </rPr>
          <t>LEKA H BONORO:</t>
        </r>
        <r>
          <rPr>
            <sz val="9"/>
            <rFont val="Times New Roman"/>
            <charset val="0"/>
          </rPr>
          <t xml:space="preserve">
click here and test form list pops up for selection</t>
        </r>
      </text>
    </comment>
    <comment ref="J8" authorId="0">
      <text>
        <r>
          <rPr>
            <b/>
            <sz val="9"/>
            <rFont val="Times New Roman"/>
            <charset val="0"/>
          </rPr>
          <t>LEKA H BONORO:</t>
        </r>
        <r>
          <rPr>
            <sz val="9"/>
            <rFont val="Times New Roman"/>
            <charset val="0"/>
          </rPr>
          <t xml:space="preserve">
click here and test form list pops up for selection</t>
        </r>
      </text>
    </comment>
    <comment ref="L8" authorId="0">
      <text>
        <r>
          <rPr>
            <b/>
            <sz val="9"/>
            <rFont val="Times New Roman"/>
            <charset val="0"/>
          </rPr>
          <t>LEKA H BONORO:</t>
        </r>
        <r>
          <rPr>
            <sz val="9"/>
            <rFont val="Times New Roman"/>
            <charset val="0"/>
          </rPr>
          <t xml:space="preserve">
click here and test form list pops up for selection</t>
        </r>
      </text>
    </comment>
    <comment ref="M8" authorId="0">
      <text>
        <r>
          <rPr>
            <b/>
            <sz val="9"/>
            <rFont val="Times New Roman"/>
            <charset val="0"/>
          </rPr>
          <t>LEKA H BONORO:</t>
        </r>
        <r>
          <rPr>
            <sz val="9"/>
            <rFont val="Times New Roman"/>
            <charset val="0"/>
          </rPr>
          <t xml:space="preserve">
click here and test form list pops up for selection</t>
        </r>
      </text>
    </comment>
    <comment ref="N8" authorId="0">
      <text>
        <r>
          <rPr>
            <b/>
            <sz val="9"/>
            <rFont val="Times New Roman"/>
            <charset val="0"/>
          </rPr>
          <t>LEKA H BONORO:</t>
        </r>
        <r>
          <rPr>
            <sz val="9"/>
            <rFont val="Times New Roman"/>
            <charset val="0"/>
          </rPr>
          <t xml:space="preserve">
click here and test form list pops up for selection</t>
        </r>
      </text>
    </comment>
    <comment ref="O8" authorId="0">
      <text>
        <r>
          <rPr>
            <b/>
            <sz val="9"/>
            <rFont val="Times New Roman"/>
            <charset val="0"/>
          </rPr>
          <t>LEKA H BONORO:</t>
        </r>
        <r>
          <rPr>
            <sz val="9"/>
            <rFont val="Times New Roman"/>
            <charset val="0"/>
          </rPr>
          <t xml:space="preserve">
click here and test form list pops up for selection</t>
        </r>
      </text>
    </comment>
    <comment ref="Q8" authorId="0">
      <text>
        <r>
          <rPr>
            <b/>
            <sz val="9"/>
            <rFont val="Times New Roman"/>
            <charset val="0"/>
          </rPr>
          <t>LEKA H BONORO:</t>
        </r>
        <r>
          <rPr>
            <sz val="9"/>
            <rFont val="Times New Roman"/>
            <charset val="0"/>
          </rPr>
          <t xml:space="preserve">
click here and test form list pops up for selection</t>
        </r>
      </text>
    </comment>
    <comment ref="S8" authorId="0">
      <text>
        <r>
          <rPr>
            <b/>
            <sz val="9"/>
            <rFont val="Times New Roman"/>
            <charset val="0"/>
          </rPr>
          <t>LEKA H BONORO:</t>
        </r>
        <r>
          <rPr>
            <sz val="9"/>
            <rFont val="Times New Roman"/>
            <charset val="0"/>
          </rPr>
          <t xml:space="preserve">
click here and test form list pops up for selection</t>
        </r>
      </text>
    </comment>
    <comment ref="X8" authorId="0">
      <text>
        <r>
          <rPr>
            <b/>
            <sz val="9"/>
            <rFont val="Times New Roman"/>
            <charset val="0"/>
          </rPr>
          <t>LEKA H BONORO:</t>
        </r>
        <r>
          <rPr>
            <sz val="9"/>
            <rFont val="Times New Roman"/>
            <charset val="0"/>
          </rPr>
          <t xml:space="preserve">
click here and test form list pops up for selection</t>
        </r>
      </text>
    </comment>
    <comment ref="H9" authorId="0">
      <text>
        <r>
          <rPr>
            <b/>
            <sz val="9"/>
            <rFont val="Times New Roman"/>
            <charset val="0"/>
          </rPr>
          <t>LEKA H BONORO:</t>
        </r>
        <r>
          <rPr>
            <sz val="9"/>
            <rFont val="Times New Roman"/>
            <charset val="0"/>
          </rPr>
          <t xml:space="preserve">
Click here and Equipment inventory pops up for right equipment selection</t>
        </r>
      </text>
    </comment>
    <comment ref="I9" authorId="0">
      <text>
        <r>
          <rPr>
            <b/>
            <sz val="9"/>
            <rFont val="Times New Roman"/>
            <charset val="0"/>
          </rPr>
          <t>LEKA H BONORO:</t>
        </r>
        <r>
          <rPr>
            <sz val="9"/>
            <rFont val="Times New Roman"/>
            <charset val="0"/>
          </rPr>
          <t xml:space="preserve">
Click here and Equipment inventory pops up for right equipment selection</t>
        </r>
      </text>
    </comment>
    <comment ref="J9" authorId="0">
      <text>
        <r>
          <rPr>
            <b/>
            <sz val="9"/>
            <rFont val="Times New Roman"/>
            <charset val="0"/>
          </rPr>
          <t>LEKA H BONORO:</t>
        </r>
        <r>
          <rPr>
            <sz val="9"/>
            <rFont val="Times New Roman"/>
            <charset val="0"/>
          </rPr>
          <t xml:space="preserve">
Click here and Equipment inventory pops up for right equipment selection</t>
        </r>
      </text>
    </comment>
    <comment ref="L9" authorId="0">
      <text>
        <r>
          <rPr>
            <b/>
            <sz val="9"/>
            <rFont val="Times New Roman"/>
            <charset val="0"/>
          </rPr>
          <t>LEKA H BONORO:</t>
        </r>
        <r>
          <rPr>
            <sz val="9"/>
            <rFont val="Times New Roman"/>
            <charset val="0"/>
          </rPr>
          <t xml:space="preserve">
Click here and Equipment inventory pops up for right equipment selection</t>
        </r>
      </text>
    </comment>
    <comment ref="M9" authorId="0">
      <text>
        <r>
          <rPr>
            <b/>
            <sz val="9"/>
            <rFont val="Times New Roman"/>
            <charset val="0"/>
          </rPr>
          <t>LEKA H BONORO:</t>
        </r>
        <r>
          <rPr>
            <sz val="9"/>
            <rFont val="Times New Roman"/>
            <charset val="0"/>
          </rPr>
          <t xml:space="preserve">
Click here and Equipment inventory pops up for right equipment selection</t>
        </r>
      </text>
    </comment>
    <comment ref="N9" authorId="0">
      <text>
        <r>
          <rPr>
            <b/>
            <sz val="9"/>
            <rFont val="Times New Roman"/>
            <charset val="0"/>
          </rPr>
          <t>LEKA H BONORO:</t>
        </r>
        <r>
          <rPr>
            <sz val="9"/>
            <rFont val="Times New Roman"/>
            <charset val="0"/>
          </rPr>
          <t xml:space="preserve">
Click here and Equipment inventory pops up for right equipment selection</t>
        </r>
      </text>
    </comment>
    <comment ref="O9" authorId="0">
      <text>
        <r>
          <rPr>
            <b/>
            <sz val="9"/>
            <rFont val="Times New Roman"/>
            <charset val="0"/>
          </rPr>
          <t>LEKA H BONORO:</t>
        </r>
        <r>
          <rPr>
            <sz val="9"/>
            <rFont val="Times New Roman"/>
            <charset val="0"/>
          </rPr>
          <t xml:space="preserve">
Click here and Equipment inventory pops up for right equipment selection</t>
        </r>
      </text>
    </comment>
    <comment ref="Q9" authorId="0">
      <text>
        <r>
          <rPr>
            <b/>
            <sz val="9"/>
            <rFont val="Times New Roman"/>
            <charset val="0"/>
          </rPr>
          <t>LEKA H BONORO:</t>
        </r>
        <r>
          <rPr>
            <sz val="9"/>
            <rFont val="Times New Roman"/>
            <charset val="0"/>
          </rPr>
          <t xml:space="preserve">
Click here and Equipment inventory pops up for right equipment selection</t>
        </r>
      </text>
    </comment>
    <comment ref="S9" authorId="0">
      <text>
        <r>
          <rPr>
            <b/>
            <sz val="9"/>
            <rFont val="Times New Roman"/>
            <charset val="0"/>
          </rPr>
          <t>LEKA H BONORO:</t>
        </r>
        <r>
          <rPr>
            <sz val="9"/>
            <rFont val="Times New Roman"/>
            <charset val="0"/>
          </rPr>
          <t xml:space="preserve">
Click here and Equipment inventory pops up for right equipment selection</t>
        </r>
      </text>
    </comment>
    <comment ref="X9" authorId="0">
      <text>
        <r>
          <rPr>
            <b/>
            <sz val="9"/>
            <rFont val="Times New Roman"/>
            <charset val="0"/>
          </rPr>
          <t>LEKA H BONORO:</t>
        </r>
        <r>
          <rPr>
            <sz val="9"/>
            <rFont val="Times New Roman"/>
            <charset val="0"/>
          </rPr>
          <t xml:space="preserve">
Click here and Equipment inventory pops up for right equipment selection</t>
        </r>
      </text>
    </comment>
  </commentList>
</comments>
</file>

<file path=xl/comments3.xml><?xml version="1.0" encoding="utf-8"?>
<comments xmlns="http://schemas.openxmlformats.org/spreadsheetml/2006/main">
  <authors>
    <author>LEKA H BONORO</author>
  </authors>
  <commentList>
    <comment ref="D8" authorId="0">
      <text>
        <r>
          <rPr>
            <b/>
            <sz val="9"/>
            <rFont val="Times New Roman"/>
            <charset val="0"/>
          </rPr>
          <t>LEKA H BONORO:</t>
        </r>
        <r>
          <rPr>
            <sz val="9"/>
            <rFont val="Times New Roman"/>
            <charset val="0"/>
          </rPr>
          <t xml:space="preserve">
Click here and drop down name lists of personal pops up for selection</t>
        </r>
      </text>
    </comment>
    <comment ref="G8" authorId="0">
      <text>
        <r>
          <rPr>
            <b/>
            <sz val="9"/>
            <rFont val="Times New Roman"/>
            <charset val="0"/>
          </rPr>
          <t>LEKA H BONORO:</t>
        </r>
        <r>
          <rPr>
            <sz val="9"/>
            <rFont val="Times New Roman"/>
            <charset val="0"/>
          </rPr>
          <t xml:space="preserve">
Click here and the drop down list for sample description pops up for selection</t>
        </r>
      </text>
    </comment>
    <comment ref="H8" authorId="0">
      <text>
        <r>
          <rPr>
            <b/>
            <sz val="9"/>
            <rFont val="Times New Roman"/>
            <charset val="0"/>
          </rPr>
          <t>LEKA H BONORO:</t>
        </r>
        <r>
          <rPr>
            <sz val="9"/>
            <rFont val="Times New Roman"/>
            <charset val="0"/>
          </rPr>
          <t xml:space="preserve">
Click here and drop down list for personals pops up for selection</t>
        </r>
      </text>
    </comment>
    <comment ref="I8" authorId="0">
      <text>
        <r>
          <rPr>
            <b/>
            <sz val="9"/>
            <rFont val="Times New Roman"/>
            <charset val="0"/>
          </rPr>
          <t>LEKA H BONORO:</t>
        </r>
        <r>
          <rPr>
            <sz val="9"/>
            <rFont val="Times New Roman"/>
            <charset val="0"/>
          </rPr>
          <t xml:space="preserve">
click here and test form list pops up for selection</t>
        </r>
      </text>
    </comment>
    <comment ref="J8" authorId="0">
      <text>
        <r>
          <rPr>
            <b/>
            <sz val="9"/>
            <rFont val="Times New Roman"/>
            <charset val="0"/>
          </rPr>
          <t>LEKA H BONORO:</t>
        </r>
        <r>
          <rPr>
            <sz val="9"/>
            <rFont val="Times New Roman"/>
            <charset val="0"/>
          </rPr>
          <t xml:space="preserve">
click here and test form list pops up for selection</t>
        </r>
      </text>
    </comment>
    <comment ref="K8" authorId="0">
      <text>
        <r>
          <rPr>
            <b/>
            <sz val="9"/>
            <rFont val="Times New Roman"/>
            <charset val="0"/>
          </rPr>
          <t>LEKA H BONORO:</t>
        </r>
        <r>
          <rPr>
            <sz val="9"/>
            <rFont val="Times New Roman"/>
            <charset val="0"/>
          </rPr>
          <t xml:space="preserve">
click here and test form list pops up for selection</t>
        </r>
      </text>
    </comment>
    <comment ref="L8" authorId="0">
      <text>
        <r>
          <rPr>
            <b/>
            <sz val="9"/>
            <rFont val="Times New Roman"/>
            <charset val="0"/>
          </rPr>
          <t>LEKA H BONORO:</t>
        </r>
        <r>
          <rPr>
            <sz val="9"/>
            <rFont val="Times New Roman"/>
            <charset val="0"/>
          </rPr>
          <t xml:space="preserve">
click here and test form list pops up for selection</t>
        </r>
      </text>
    </comment>
    <comment ref="I9" authorId="0">
      <text>
        <r>
          <rPr>
            <b/>
            <sz val="9"/>
            <rFont val="Times New Roman"/>
            <charset val="0"/>
          </rPr>
          <t>LEKA H BONORO:</t>
        </r>
        <r>
          <rPr>
            <sz val="9"/>
            <rFont val="Times New Roman"/>
            <charset val="0"/>
          </rPr>
          <t xml:space="preserve">
Click here and Equipment inventory pops up for right equipment selection</t>
        </r>
      </text>
    </comment>
    <comment ref="J9" authorId="0">
      <text>
        <r>
          <rPr>
            <b/>
            <sz val="9"/>
            <rFont val="Times New Roman"/>
            <charset val="0"/>
          </rPr>
          <t>LEKA H BONORO:</t>
        </r>
        <r>
          <rPr>
            <sz val="9"/>
            <rFont val="Times New Roman"/>
            <charset val="0"/>
          </rPr>
          <t xml:space="preserve">
Click here and Equipment inventory pops up for right equipment selection</t>
        </r>
      </text>
    </comment>
    <comment ref="K9" authorId="0">
      <text>
        <r>
          <rPr>
            <b/>
            <sz val="9"/>
            <rFont val="Times New Roman"/>
            <charset val="0"/>
          </rPr>
          <t>LEKA H BONORO:</t>
        </r>
        <r>
          <rPr>
            <sz val="9"/>
            <rFont val="Times New Roman"/>
            <charset val="0"/>
          </rPr>
          <t xml:space="preserve">
Click here and Equipment inventory pops up for right equipment selection</t>
        </r>
      </text>
    </comment>
    <comment ref="L9" authorId="0">
      <text>
        <r>
          <rPr>
            <b/>
            <sz val="9"/>
            <rFont val="Times New Roman"/>
            <charset val="0"/>
          </rPr>
          <t>LEKA H BONORO:</t>
        </r>
        <r>
          <rPr>
            <sz val="9"/>
            <rFont val="Times New Roman"/>
            <charset val="0"/>
          </rPr>
          <t xml:space="preserve">
Click here and Equipment inventory pops up for right equipment selection</t>
        </r>
      </text>
    </comment>
  </commentList>
</comments>
</file>

<file path=xl/comments4.xml><?xml version="1.0" encoding="utf-8"?>
<comments xmlns="http://schemas.openxmlformats.org/spreadsheetml/2006/main">
  <authors>
    <author>LEKA H BONORO</author>
  </authors>
  <commentList>
    <comment ref="D8" authorId="0">
      <text>
        <r>
          <rPr>
            <b/>
            <sz val="9"/>
            <rFont val="Times New Roman"/>
            <charset val="0"/>
          </rPr>
          <t>LEKA H BONORO:</t>
        </r>
        <r>
          <rPr>
            <sz val="9"/>
            <rFont val="Times New Roman"/>
            <charset val="0"/>
          </rPr>
          <t xml:space="preserve">
Click here and drop down name lists of personal pops up for selection</t>
        </r>
      </text>
    </comment>
    <comment ref="G8" authorId="0">
      <text>
        <r>
          <rPr>
            <b/>
            <sz val="9"/>
            <rFont val="Times New Roman"/>
            <charset val="0"/>
          </rPr>
          <t>LEKA H BONORO:</t>
        </r>
        <r>
          <rPr>
            <sz val="9"/>
            <rFont val="Times New Roman"/>
            <charset val="0"/>
          </rPr>
          <t xml:space="preserve">
Click here and the drop down list for sample description pops up for selection</t>
        </r>
      </text>
    </comment>
    <comment ref="H8" authorId="0">
      <text>
        <r>
          <rPr>
            <b/>
            <sz val="9"/>
            <rFont val="Times New Roman"/>
            <charset val="0"/>
          </rPr>
          <t>LEKA H BONORO:</t>
        </r>
        <r>
          <rPr>
            <sz val="9"/>
            <rFont val="Times New Roman"/>
            <charset val="0"/>
          </rPr>
          <t xml:space="preserve">
Click here and drop down list for personals pops up for selection</t>
        </r>
      </text>
    </comment>
    <comment ref="I8" authorId="0">
      <text>
        <r>
          <rPr>
            <b/>
            <sz val="9"/>
            <rFont val="Times New Roman"/>
            <charset val="0"/>
          </rPr>
          <t>LEKA H BONORO:</t>
        </r>
        <r>
          <rPr>
            <sz val="9"/>
            <rFont val="Times New Roman"/>
            <charset val="0"/>
          </rPr>
          <t xml:space="preserve">
click here and test form list pops up for selection</t>
        </r>
      </text>
    </comment>
    <comment ref="J8" authorId="0">
      <text>
        <r>
          <rPr>
            <b/>
            <sz val="9"/>
            <rFont val="Times New Roman"/>
            <charset val="0"/>
          </rPr>
          <t>LEKA H BONORO:</t>
        </r>
        <r>
          <rPr>
            <sz val="9"/>
            <rFont val="Times New Roman"/>
            <charset val="0"/>
          </rPr>
          <t xml:space="preserve">
click here and test form list pops up for selection</t>
        </r>
      </text>
    </comment>
    <comment ref="K8" authorId="0">
      <text>
        <r>
          <rPr>
            <b/>
            <sz val="9"/>
            <rFont val="Times New Roman"/>
            <charset val="0"/>
          </rPr>
          <t>LEKA H BONORO:</t>
        </r>
        <r>
          <rPr>
            <sz val="9"/>
            <rFont val="Times New Roman"/>
            <charset val="0"/>
          </rPr>
          <t xml:space="preserve">
click here and test form list pops up for selection</t>
        </r>
      </text>
    </comment>
    <comment ref="L8" authorId="0">
      <text>
        <r>
          <rPr>
            <b/>
            <sz val="9"/>
            <rFont val="Times New Roman"/>
            <charset val="0"/>
          </rPr>
          <t>LEKA H BONORO:</t>
        </r>
        <r>
          <rPr>
            <sz val="9"/>
            <rFont val="Times New Roman"/>
            <charset val="0"/>
          </rPr>
          <t xml:space="preserve">
click here and test form list pops up for selection</t>
        </r>
      </text>
    </comment>
    <comment ref="I9" authorId="0">
      <text>
        <r>
          <rPr>
            <b/>
            <sz val="9"/>
            <rFont val="Times New Roman"/>
            <charset val="0"/>
          </rPr>
          <t>LEKA H BONORO:</t>
        </r>
        <r>
          <rPr>
            <sz val="9"/>
            <rFont val="Times New Roman"/>
            <charset val="0"/>
          </rPr>
          <t xml:space="preserve">
Click here and Equipment inventory pops up for right equipment selection</t>
        </r>
      </text>
    </comment>
    <comment ref="J9" authorId="0">
      <text>
        <r>
          <rPr>
            <b/>
            <sz val="9"/>
            <rFont val="Times New Roman"/>
            <charset val="0"/>
          </rPr>
          <t>LEKA H BONORO:</t>
        </r>
        <r>
          <rPr>
            <sz val="9"/>
            <rFont val="Times New Roman"/>
            <charset val="0"/>
          </rPr>
          <t xml:space="preserve">
Click here and Equipment inventory pops up for right equipment selection</t>
        </r>
      </text>
    </comment>
    <comment ref="K9" authorId="0">
      <text>
        <r>
          <rPr>
            <b/>
            <sz val="9"/>
            <rFont val="Times New Roman"/>
            <charset val="0"/>
          </rPr>
          <t>LEKA H BONORO:</t>
        </r>
        <r>
          <rPr>
            <sz val="9"/>
            <rFont val="Times New Roman"/>
            <charset val="0"/>
          </rPr>
          <t xml:space="preserve">
Click here and Equipment inventory pops up for right equipment selection</t>
        </r>
      </text>
    </comment>
    <comment ref="L9" authorId="0">
      <text>
        <r>
          <rPr>
            <b/>
            <sz val="9"/>
            <rFont val="Times New Roman"/>
            <charset val="0"/>
          </rPr>
          <t>LEKA H BONORO:</t>
        </r>
        <r>
          <rPr>
            <sz val="9"/>
            <rFont val="Times New Roman"/>
            <charset val="0"/>
          </rPr>
          <t xml:space="preserve">
Click here and Equipment inventory pops up for right equipment selection</t>
        </r>
      </text>
    </comment>
  </commentList>
</comments>
</file>

<file path=xl/comments5.xml><?xml version="1.0" encoding="utf-8"?>
<comments xmlns="http://schemas.openxmlformats.org/spreadsheetml/2006/main">
  <authors>
    <author>LEKA H BONORO</author>
  </authors>
  <commentList>
    <comment ref="D8" authorId="0">
      <text>
        <r>
          <rPr>
            <b/>
            <sz val="9"/>
            <rFont val="Times New Roman"/>
            <charset val="0"/>
          </rPr>
          <t>LEKA H BONORO:</t>
        </r>
        <r>
          <rPr>
            <sz val="9"/>
            <rFont val="Times New Roman"/>
            <charset val="0"/>
          </rPr>
          <t xml:space="preserve">
Click here and drop down name lists of personal pops up for selection</t>
        </r>
      </text>
    </comment>
    <comment ref="G8" authorId="0">
      <text>
        <r>
          <rPr>
            <b/>
            <sz val="9"/>
            <rFont val="Times New Roman"/>
            <charset val="0"/>
          </rPr>
          <t>LEKA H BONORO:</t>
        </r>
        <r>
          <rPr>
            <sz val="9"/>
            <rFont val="Times New Roman"/>
            <charset val="0"/>
          </rPr>
          <t xml:space="preserve">
Click here and the drop down list for sample description pops up for selection</t>
        </r>
      </text>
    </comment>
    <comment ref="H8" authorId="0">
      <text>
        <r>
          <rPr>
            <b/>
            <sz val="9"/>
            <rFont val="Times New Roman"/>
            <charset val="0"/>
          </rPr>
          <t>LEKA H BONORO:</t>
        </r>
        <r>
          <rPr>
            <sz val="9"/>
            <rFont val="Times New Roman"/>
            <charset val="0"/>
          </rPr>
          <t xml:space="preserve">
Click here and drop down list for personals pops up for selection</t>
        </r>
      </text>
    </comment>
    <comment ref="I8" authorId="0">
      <text>
        <r>
          <rPr>
            <b/>
            <sz val="9"/>
            <rFont val="Times New Roman"/>
            <charset val="0"/>
          </rPr>
          <t>LEKA H BONORO:</t>
        </r>
        <r>
          <rPr>
            <sz val="9"/>
            <rFont val="Times New Roman"/>
            <charset val="0"/>
          </rPr>
          <t xml:space="preserve">
click here and test form list pops up for selection</t>
        </r>
      </text>
    </comment>
    <comment ref="K8" authorId="0">
      <text>
        <r>
          <rPr>
            <b/>
            <sz val="9"/>
            <rFont val="Times New Roman"/>
            <charset val="0"/>
          </rPr>
          <t>LEKA H BONORO:</t>
        </r>
        <r>
          <rPr>
            <sz val="9"/>
            <rFont val="Times New Roman"/>
            <charset val="0"/>
          </rPr>
          <t xml:space="preserve">
click here and test form list pops up for selection</t>
        </r>
      </text>
    </comment>
    <comment ref="L8" authorId="0">
      <text>
        <r>
          <rPr>
            <b/>
            <sz val="9"/>
            <rFont val="Times New Roman"/>
            <charset val="0"/>
          </rPr>
          <t>LEKA H BONORO:</t>
        </r>
        <r>
          <rPr>
            <sz val="9"/>
            <rFont val="Times New Roman"/>
            <charset val="0"/>
          </rPr>
          <t xml:space="preserve">
click here and test form list pops up for selection</t>
        </r>
      </text>
    </comment>
    <comment ref="I9" authorId="0">
      <text>
        <r>
          <rPr>
            <b/>
            <sz val="9"/>
            <rFont val="Times New Roman"/>
            <charset val="0"/>
          </rPr>
          <t>LEKA H BONORO:</t>
        </r>
        <r>
          <rPr>
            <sz val="9"/>
            <rFont val="Times New Roman"/>
            <charset val="0"/>
          </rPr>
          <t xml:space="preserve">
Click here and Equipment inventory pops up for right equipment selection</t>
        </r>
      </text>
    </comment>
    <comment ref="K9" authorId="0">
      <text>
        <r>
          <rPr>
            <b/>
            <sz val="9"/>
            <rFont val="Times New Roman"/>
            <charset val="0"/>
          </rPr>
          <t>LEKA H BONORO:</t>
        </r>
        <r>
          <rPr>
            <sz val="9"/>
            <rFont val="Times New Roman"/>
            <charset val="0"/>
          </rPr>
          <t xml:space="preserve">
Click here and Equipment inventory pops up for right equipment selection</t>
        </r>
      </text>
    </comment>
    <comment ref="L9" authorId="0">
      <text>
        <r>
          <rPr>
            <b/>
            <sz val="9"/>
            <rFont val="Times New Roman"/>
            <charset val="0"/>
          </rPr>
          <t>LEKA H BONORO:</t>
        </r>
        <r>
          <rPr>
            <sz val="9"/>
            <rFont val="Times New Roman"/>
            <charset val="0"/>
          </rPr>
          <t xml:space="preserve">
Click here and Equipment inventory pops up for right equipment selection</t>
        </r>
      </text>
    </comment>
  </commentList>
</comments>
</file>

<file path=xl/sharedStrings.xml><?xml version="1.0" encoding="utf-8"?>
<sst xmlns="http://schemas.openxmlformats.org/spreadsheetml/2006/main" count="3127" uniqueCount="1158">
  <si>
    <t>DEPARTMENT OF WORKS &amp; HIGHWAYS</t>
  </si>
  <si>
    <t>MATERIAL SCIENCE &amp; TECHNOLOGY</t>
  </si>
  <si>
    <t>SAMPLE REGISTRATION - SOILS</t>
  </si>
  <si>
    <t>YEAR 2025</t>
  </si>
  <si>
    <t>SAMPLE NO.</t>
  </si>
  <si>
    <t>QR / BAR CODE</t>
  </si>
  <si>
    <t>DATE RECIEVED</t>
  </si>
  <si>
    <t>RECIEVED BY</t>
  </si>
  <si>
    <t>CLIENT</t>
  </si>
  <si>
    <t>PROJECT</t>
  </si>
  <si>
    <t>SAMPLE DESCRIPTION</t>
  </si>
  <si>
    <t xml:space="preserve">PERSONAL </t>
  </si>
  <si>
    <t>TEST TYPE / TEST FORM / EQUIPMENT USE</t>
  </si>
  <si>
    <t>NOTES</t>
  </si>
  <si>
    <t>ASSIGNMENT</t>
  </si>
  <si>
    <t>MC</t>
  </si>
  <si>
    <t>ATTEBERG LIMITS</t>
  </si>
  <si>
    <t>SPD</t>
  </si>
  <si>
    <t>PSD</t>
  </si>
  <si>
    <t>MDD/OMC</t>
  </si>
  <si>
    <t>CBR</t>
  </si>
  <si>
    <t>LA</t>
  </si>
  <si>
    <t>W/D</t>
  </si>
  <si>
    <t>OTH</t>
  </si>
  <si>
    <t>LL</t>
  </si>
  <si>
    <t>PL</t>
  </si>
  <si>
    <t>PI</t>
  </si>
  <si>
    <t>LS</t>
  </si>
  <si>
    <t>STD</t>
  </si>
  <si>
    <t>MOD</t>
  </si>
  <si>
    <t>26P-S-001</t>
  </si>
  <si>
    <t>JACK NUGINTS</t>
  </si>
  <si>
    <t>GLOBAL CONSTRUCTION</t>
  </si>
  <si>
    <t>BARUNI - LNG ROAD UPGRADE</t>
  </si>
  <si>
    <t>SIMIN GORE</t>
  </si>
  <si>
    <t>Click on the test type</t>
  </si>
  <si>
    <t>26P-S-002</t>
  </si>
  <si>
    <t xml:space="preserve">column and drop  </t>
  </si>
  <si>
    <t>26P-S-003</t>
  </si>
  <si>
    <t>down menu for test</t>
  </si>
  <si>
    <t>26P-S-004</t>
  </si>
  <si>
    <t xml:space="preserve"> forms and equipment </t>
  </si>
  <si>
    <t>26P-S-005</t>
  </si>
  <si>
    <t>linventory ist pops up</t>
  </si>
  <si>
    <t>26P-S-006</t>
  </si>
  <si>
    <t xml:space="preserve">for the selection of </t>
  </si>
  <si>
    <t>Next sample</t>
  </si>
  <si>
    <t>right type of equioment</t>
  </si>
  <si>
    <t>no. pops up</t>
  </si>
  <si>
    <t>auomatically</t>
  </si>
  <si>
    <t xml:space="preserve">OR WE CAN ALSO HAVE </t>
  </si>
  <si>
    <t xml:space="preserve">DROP DOWN LIST </t>
  </si>
  <si>
    <t>FOR TEST TYPES</t>
  </si>
  <si>
    <t>FROM THE LIST PROVIDED</t>
  </si>
  <si>
    <t>OTHER SOILS, AGGREGATES,</t>
  </si>
  <si>
    <t>CONCRETE, ROCK &amp; FIELD</t>
  </si>
  <si>
    <t>SAMPLE REGISTRATION - AGGREGATE</t>
  </si>
  <si>
    <t>BD</t>
  </si>
  <si>
    <t>PD&amp; WA</t>
  </si>
  <si>
    <t>PS</t>
  </si>
  <si>
    <t>FI</t>
  </si>
  <si>
    <t>CP</t>
  </si>
  <si>
    <t>ALD</t>
  </si>
  <si>
    <t>ACV</t>
  </si>
  <si>
    <t>SSS</t>
  </si>
  <si>
    <t>WP</t>
  </si>
  <si>
    <t>FF</t>
  </si>
  <si>
    <t>FINE</t>
  </si>
  <si>
    <t>COARSE</t>
  </si>
  <si>
    <t>&gt;10MM</t>
  </si>
  <si>
    <t>5 &amp; 7MM</t>
  </si>
  <si>
    <t>26P-A-001</t>
  </si>
  <si>
    <t>20MM AGGREGATE</t>
  </si>
  <si>
    <t>26P-A-002</t>
  </si>
  <si>
    <t>26P-A-003</t>
  </si>
  <si>
    <t>26P-A-004</t>
  </si>
  <si>
    <t>26P-A-005</t>
  </si>
  <si>
    <t>26P-A-006</t>
  </si>
  <si>
    <t>SAMPLE REGISTRATION - CONCRETE</t>
  </si>
  <si>
    <t>QR/BAR CODE</t>
  </si>
  <si>
    <t>COMPRESSIVE STRENGTH</t>
  </si>
  <si>
    <t>BREAKING LOAD</t>
  </si>
  <si>
    <t>OTHER</t>
  </si>
  <si>
    <t>CYLINDER</t>
  </si>
  <si>
    <t>MASONRY</t>
  </si>
  <si>
    <t>PAVER BLOCKS</t>
  </si>
  <si>
    <t>26P-C-001</t>
  </si>
  <si>
    <t>100MM DIA CYLINDER</t>
  </si>
  <si>
    <t>26P-C-002</t>
  </si>
  <si>
    <t>26P-C-003</t>
  </si>
  <si>
    <t>26P-C-004</t>
  </si>
  <si>
    <t>26P-C-005</t>
  </si>
  <si>
    <t>26P-C-006</t>
  </si>
  <si>
    <t>SAMPLE REGISTRATION - ROCK</t>
  </si>
  <si>
    <t>MANUALLY CRUSHED</t>
  </si>
  <si>
    <t>SAW CUT</t>
  </si>
  <si>
    <t>BROKEN PIECES</t>
  </si>
  <si>
    <t>POINT LOAD TEST</t>
  </si>
  <si>
    <t>26P-R-001</t>
  </si>
  <si>
    <t>BASALT</t>
  </si>
  <si>
    <t>26P-R-002</t>
  </si>
  <si>
    <t>26P-R-003</t>
  </si>
  <si>
    <t>26P-R-004</t>
  </si>
  <si>
    <t>26P-R-005</t>
  </si>
  <si>
    <t>26P-R-006</t>
  </si>
  <si>
    <t>2018 INVOICES</t>
  </si>
  <si>
    <t>REPORT No.</t>
  </si>
  <si>
    <t>INVOICE No.</t>
  </si>
  <si>
    <t>AMOUNT(K)</t>
  </si>
  <si>
    <t>ISSUED DATE</t>
  </si>
  <si>
    <t>INVOICE PAID</t>
  </si>
  <si>
    <t>OUTSTANDING INVOICES</t>
  </si>
  <si>
    <t>MONTHS</t>
  </si>
  <si>
    <t>TOTAL OUTSTANDING</t>
  </si>
  <si>
    <t>REMARKS</t>
  </si>
  <si>
    <t>SAMPLE REGISTRATION - FIELD</t>
  </si>
  <si>
    <t xml:space="preserve">FIELD DENSITY </t>
  </si>
  <si>
    <t>DCP</t>
  </si>
  <si>
    <t>CONCRETE CYLINDER</t>
  </si>
  <si>
    <t>SRT</t>
  </si>
  <si>
    <t>PAV</t>
  </si>
  <si>
    <t>FOUD'N</t>
  </si>
  <si>
    <t>SAMPLING</t>
  </si>
  <si>
    <t>SLUMP TEST</t>
  </si>
  <si>
    <t>26P-F-001</t>
  </si>
  <si>
    <t>26P-F-002</t>
  </si>
  <si>
    <t>26P-F-003</t>
  </si>
  <si>
    <t>26P-F-004</t>
  </si>
  <si>
    <t>26P-F-005</t>
  </si>
  <si>
    <t>26P-F-006</t>
  </si>
  <si>
    <t>PRICE LIST</t>
  </si>
  <si>
    <t>TEST METHOD</t>
  </si>
  <si>
    <t>UNIT</t>
  </si>
  <si>
    <t>PRICE</t>
  </si>
  <si>
    <t>QUANTITY</t>
  </si>
  <si>
    <t>PUBLIC</t>
  </si>
  <si>
    <t>PRIVATE</t>
  </si>
  <si>
    <t>AGGREGATE TESTS</t>
  </si>
  <si>
    <t>Bulk Density</t>
  </si>
  <si>
    <t>No.</t>
  </si>
  <si>
    <t>Particle Density &amp; Water Absorption-Fine</t>
  </si>
  <si>
    <t>Particle Density &amp; Water Absorption-Coarse</t>
  </si>
  <si>
    <t>Particle Size Distribution by Dry Seiveing</t>
  </si>
  <si>
    <r>
      <rPr>
        <sz val="10"/>
        <rFont val="Arial"/>
        <charset val="134"/>
      </rPr>
      <t>Materials Finer than 75</t>
    </r>
    <r>
      <rPr>
        <sz val="10"/>
        <rFont val="Calibri"/>
        <charset val="134"/>
      </rPr>
      <t>µm (washing)</t>
    </r>
  </si>
  <si>
    <t>Particle Shape by Proportional Calliper</t>
  </si>
  <si>
    <t>Flakiness Index</t>
  </si>
  <si>
    <t>Crushed Particles</t>
  </si>
  <si>
    <t>Average Least Dimension (10mm&gt;)</t>
  </si>
  <si>
    <t>Average Least Dimension (5mm-7mm)</t>
  </si>
  <si>
    <t>Average Crushing Value - Two tests</t>
  </si>
  <si>
    <t>Wet/Dry Strength Variation</t>
  </si>
  <si>
    <t>Los Angeles Abrasion Value</t>
  </si>
  <si>
    <t>Soundness Loss (Sodium Sulphate Solution)</t>
  </si>
  <si>
    <t>Weak (Fariable) Particles</t>
  </si>
  <si>
    <t>Fracture Faces</t>
  </si>
  <si>
    <t>ROCK TESTS</t>
  </si>
  <si>
    <t xml:space="preserve">Point Load Test  </t>
  </si>
  <si>
    <r>
      <rPr>
        <b/>
        <sz val="10"/>
        <rFont val="Arial"/>
        <charset val="134"/>
      </rPr>
      <t>samples</t>
    </r>
    <r>
      <rPr>
        <sz val="10"/>
        <rFont val="SimSun"/>
        <charset val="134"/>
      </rPr>
      <t xml:space="preserve"> ≦</t>
    </r>
    <r>
      <rPr>
        <sz val="10"/>
        <rFont val="Arial"/>
        <charset val="134"/>
      </rPr>
      <t xml:space="preserve"> 5   @  K65  / sample               </t>
    </r>
    <r>
      <rPr>
        <b/>
        <sz val="10"/>
        <rFont val="Arial"/>
        <charset val="134"/>
      </rPr>
      <t>samples</t>
    </r>
    <r>
      <rPr>
        <sz val="10"/>
        <rFont val="Arial"/>
        <charset val="134"/>
      </rPr>
      <t xml:space="preserve">  &gt; 5  @  K65 / 5 x samples</t>
    </r>
  </si>
  <si>
    <t>CONCRETE TESTS</t>
  </si>
  <si>
    <t xml:space="preserve">Concrete Cylinder Compressive Strength </t>
  </si>
  <si>
    <t xml:space="preserve">Concrete Masonry Compressive Strength </t>
  </si>
  <si>
    <t>Breaking Load Strength Paver Block</t>
  </si>
  <si>
    <t>SOILS TESTS</t>
  </si>
  <si>
    <t>Moisture Content Determination - AS1289.2.1</t>
  </si>
  <si>
    <t>Atterberg Limits (LL, PL &amp; PI - AS1289.3.1.1, 3.2.1, 3.3.1 &amp; 3.4.1</t>
  </si>
  <si>
    <t>Soil Particle Density - AS1289.3.5.1</t>
  </si>
  <si>
    <t>Particle Size Distribution-Wet Seive - AS1289.3.6.1</t>
  </si>
  <si>
    <t>Cone Liquid Limit (LL, PL &amp; PI)</t>
  </si>
  <si>
    <t>Standard Compaction Test -AS1289.5.1.1</t>
  </si>
  <si>
    <t>Modified Compaction Test - AS1289.5.2.1</t>
  </si>
  <si>
    <t>CBR-Remoulded Specimen (4 Days Soak)</t>
  </si>
  <si>
    <t>FIELD TESTS / SAMPLING</t>
  </si>
  <si>
    <t>Dynamic Cone Penetrometer (DCP) Test - Pavement</t>
  </si>
  <si>
    <t>Dynamic Cone Penetrometer (DCP) Test - Foundation</t>
  </si>
  <si>
    <t xml:space="preserve">Field Density Test - Sand Replacement </t>
  </si>
  <si>
    <t>Sampling of fresh concrete</t>
  </si>
  <si>
    <t>Slump test</t>
  </si>
  <si>
    <t>MANHOUR</t>
  </si>
  <si>
    <t xml:space="preserve">Personal Daily Allowance </t>
  </si>
  <si>
    <t>Vehicle per return trip</t>
  </si>
  <si>
    <t>K150.00</t>
  </si>
  <si>
    <t>MATERIALS TESTING LABORATORY</t>
  </si>
  <si>
    <t>MATERIAL SCIENCE AND TECHNOLOGY BANCH</t>
  </si>
  <si>
    <t>P.O. BOX 1108, Bororko</t>
  </si>
  <si>
    <t>National Capital District</t>
  </si>
  <si>
    <t xml:space="preserve">        MASTERLIST OF EQUIPMENT + CALIBRATION SCHEDULE</t>
  </si>
  <si>
    <t>Asset #</t>
  </si>
  <si>
    <t>Old Asset #</t>
  </si>
  <si>
    <t>Std test acronym</t>
  </si>
  <si>
    <t>Description</t>
  </si>
  <si>
    <t>Brand / Model / Serial #</t>
  </si>
  <si>
    <t>Year aquired</t>
  </si>
  <si>
    <t>Cal. Form No.</t>
  </si>
  <si>
    <t>Calbration type</t>
  </si>
  <si>
    <t>Nature</t>
  </si>
  <si>
    <t>Frequency (months)</t>
  </si>
  <si>
    <t>Active state</t>
  </si>
  <si>
    <t>Last Date of Calibr.</t>
  </si>
  <si>
    <t>Calibr. By</t>
  </si>
  <si>
    <t xml:space="preserve">Next Date of Calibr. </t>
  </si>
  <si>
    <t>Remarks</t>
  </si>
  <si>
    <t>LAA00</t>
  </si>
  <si>
    <t>AGGREGATE</t>
  </si>
  <si>
    <t>PMA01</t>
  </si>
  <si>
    <t>UM01</t>
  </si>
  <si>
    <t>25L Measure-Unit Mass</t>
  </si>
  <si>
    <t>Soilcrete</t>
  </si>
  <si>
    <t>CA-21 (CM)</t>
  </si>
  <si>
    <t>Internal</t>
  </si>
  <si>
    <t>Dim</t>
  </si>
  <si>
    <t>Active</t>
  </si>
  <si>
    <t>JK</t>
  </si>
  <si>
    <t>PMA02</t>
  </si>
  <si>
    <t>UM02</t>
  </si>
  <si>
    <t>Rubber Mullet</t>
  </si>
  <si>
    <t>Not required</t>
  </si>
  <si>
    <t>PMA03</t>
  </si>
  <si>
    <t>UM03</t>
  </si>
  <si>
    <t>PMA04</t>
  </si>
  <si>
    <t>UM04</t>
  </si>
  <si>
    <t>Comnical Mould</t>
  </si>
  <si>
    <t>CA-05 (CM)</t>
  </si>
  <si>
    <t>PMA05</t>
  </si>
  <si>
    <t>BD01</t>
  </si>
  <si>
    <t>PDf</t>
  </si>
  <si>
    <t>Aggregate Crushing Value Equipment</t>
  </si>
  <si>
    <t>CA-21 (CP)</t>
  </si>
  <si>
    <t>Cylinder+Plunger+Base Plate</t>
  </si>
  <si>
    <t>PMA06</t>
  </si>
  <si>
    <t>BD02</t>
  </si>
  <si>
    <t>PMA07</t>
  </si>
  <si>
    <t>BDC01</t>
  </si>
  <si>
    <t>Los Angeles Machine</t>
  </si>
  <si>
    <t>Geolab Sys</t>
  </si>
  <si>
    <t>CA-23 (M)</t>
  </si>
  <si>
    <t>Yet to be calibrated</t>
  </si>
  <si>
    <t>PMA08</t>
  </si>
  <si>
    <t>ACV01</t>
  </si>
  <si>
    <t>Steel Balls</t>
  </si>
  <si>
    <t>CA-23 (SB)</t>
  </si>
  <si>
    <t>12 x S/ Balls</t>
  </si>
  <si>
    <t>PMA09</t>
  </si>
  <si>
    <t>ACV02</t>
  </si>
  <si>
    <t>Measuring Cylinder</t>
  </si>
  <si>
    <t>PMA10</t>
  </si>
  <si>
    <t>ACV03</t>
  </si>
  <si>
    <t>CA-2 (TT)</t>
  </si>
  <si>
    <t>PMA11</t>
  </si>
  <si>
    <t>ACV04</t>
  </si>
  <si>
    <t>PMA12</t>
  </si>
  <si>
    <t>ACV05</t>
  </si>
  <si>
    <t>PMA13</t>
  </si>
  <si>
    <t>ACV06</t>
  </si>
  <si>
    <t>SS Sound Bascket</t>
  </si>
  <si>
    <t>PMA14</t>
  </si>
  <si>
    <t>ACV07</t>
  </si>
  <si>
    <t>PMA15</t>
  </si>
  <si>
    <t>ACV08</t>
  </si>
  <si>
    <t>PMA16</t>
  </si>
  <si>
    <t>ACV09</t>
  </si>
  <si>
    <t>PMA17</t>
  </si>
  <si>
    <t>ACV10</t>
  </si>
  <si>
    <t>PMA18</t>
  </si>
  <si>
    <t>ACV11</t>
  </si>
  <si>
    <t>PMA19</t>
  </si>
  <si>
    <t>ACV12</t>
  </si>
  <si>
    <t>Pro-lab.</t>
  </si>
  <si>
    <t>PMA20</t>
  </si>
  <si>
    <t>LA01</t>
  </si>
  <si>
    <t>Flankiness Gauge</t>
  </si>
  <si>
    <t>PMA21</t>
  </si>
  <si>
    <t>LA03</t>
  </si>
  <si>
    <t>SVA</t>
  </si>
  <si>
    <t>300 x 75mm Seive</t>
  </si>
  <si>
    <t>Endecotts</t>
  </si>
  <si>
    <t>CV-07 (SV)</t>
  </si>
  <si>
    <t>Ref Sieve</t>
  </si>
  <si>
    <t>PMA22</t>
  </si>
  <si>
    <t>LA02</t>
  </si>
  <si>
    <t>300 x 53mm Seive</t>
  </si>
  <si>
    <t>PMA23</t>
  </si>
  <si>
    <t>SS01</t>
  </si>
  <si>
    <t>300 x 37.5mm Seive</t>
  </si>
  <si>
    <t>PMA24</t>
  </si>
  <si>
    <t>SS02</t>
  </si>
  <si>
    <t>300 x 26.5mm Seive</t>
  </si>
  <si>
    <t>PMA25</t>
  </si>
  <si>
    <t>SS03</t>
  </si>
  <si>
    <t>PMA26</t>
  </si>
  <si>
    <t>FL01</t>
  </si>
  <si>
    <t>300 x 19mm Seive</t>
  </si>
  <si>
    <t>PMA27</t>
  </si>
  <si>
    <t>SVA01</t>
  </si>
  <si>
    <t>300 x 13.2mm Seive</t>
  </si>
  <si>
    <t>PMA28</t>
  </si>
  <si>
    <t>SVA02</t>
  </si>
  <si>
    <t>300 x 9.5mm Seive</t>
  </si>
  <si>
    <t>PMA29</t>
  </si>
  <si>
    <t>SVA03</t>
  </si>
  <si>
    <t>302 x 4.75mm Seive</t>
  </si>
  <si>
    <t>PMA30</t>
  </si>
  <si>
    <t>SVA04</t>
  </si>
  <si>
    <t>300 mm Recive Pan</t>
  </si>
  <si>
    <t>PMA31</t>
  </si>
  <si>
    <t>SVA05</t>
  </si>
  <si>
    <t>Average Least Dim. Gauge</t>
  </si>
  <si>
    <t>CA-20 (MS)</t>
  </si>
  <si>
    <t>NEW</t>
  </si>
  <si>
    <t>PMA32</t>
  </si>
  <si>
    <t>SVA06</t>
  </si>
  <si>
    <t>PMA33</t>
  </si>
  <si>
    <t>Tamping Rod (Conical Mold)</t>
  </si>
  <si>
    <t>Pro-lab</t>
  </si>
  <si>
    <t>CA-05 (TR)</t>
  </si>
  <si>
    <t>PMA34</t>
  </si>
  <si>
    <t>PMA35</t>
  </si>
  <si>
    <t>PMA36</t>
  </si>
  <si>
    <t>Conical Mould</t>
  </si>
  <si>
    <t>PMA37</t>
  </si>
  <si>
    <t>Tamping Rod</t>
  </si>
  <si>
    <t>PMA38</t>
  </si>
  <si>
    <t>New</t>
  </si>
  <si>
    <t>PMA39</t>
  </si>
  <si>
    <t>Proportinal Calliper</t>
  </si>
  <si>
    <t>CA-14 (PC)</t>
  </si>
  <si>
    <t>LAC00</t>
  </si>
  <si>
    <t>CONCRETE</t>
  </si>
  <si>
    <t>PMC01</t>
  </si>
  <si>
    <t>CE01</t>
  </si>
  <si>
    <t>CT</t>
  </si>
  <si>
    <t>Concrete Compression Testing Machine</t>
  </si>
  <si>
    <t>Pro-Lab</t>
  </si>
  <si>
    <t>CC-9 (LR)</t>
  </si>
  <si>
    <t>External</t>
  </si>
  <si>
    <t>Rate</t>
  </si>
  <si>
    <t>Inactive</t>
  </si>
  <si>
    <t xml:space="preserve"> </t>
  </si>
  <si>
    <t>PMC02</t>
  </si>
  <si>
    <t xml:space="preserve">Cylinder Measuring Zig. </t>
  </si>
  <si>
    <t>Ext</t>
  </si>
  <si>
    <t>PMC03</t>
  </si>
  <si>
    <t>CE02</t>
  </si>
  <si>
    <t>CS</t>
  </si>
  <si>
    <t>Slump Cone</t>
  </si>
  <si>
    <t>CC-3.1 (SC)</t>
  </si>
  <si>
    <t>Discarded</t>
  </si>
  <si>
    <t>DG</t>
  </si>
  <si>
    <t>PMC04</t>
  </si>
  <si>
    <t>CE03</t>
  </si>
  <si>
    <t>PMC05</t>
  </si>
  <si>
    <t>CE04</t>
  </si>
  <si>
    <t>PMC06</t>
  </si>
  <si>
    <t>CE05</t>
  </si>
  <si>
    <t>PMC07</t>
  </si>
  <si>
    <t>CE06</t>
  </si>
  <si>
    <t>Filling Conical Collar</t>
  </si>
  <si>
    <t>CC-8.1 (FC)</t>
  </si>
  <si>
    <t>PMC08</t>
  </si>
  <si>
    <t>CE07</t>
  </si>
  <si>
    <t>PMC09</t>
  </si>
  <si>
    <t>CE08</t>
  </si>
  <si>
    <t>PMC10</t>
  </si>
  <si>
    <t>CE09</t>
  </si>
  <si>
    <t>PMC11</t>
  </si>
  <si>
    <t>CE10</t>
  </si>
  <si>
    <t>CC-3.1 (TR)</t>
  </si>
  <si>
    <t>PMC12</t>
  </si>
  <si>
    <t>CE11</t>
  </si>
  <si>
    <t>Metal Base Plate</t>
  </si>
  <si>
    <t>-</t>
  </si>
  <si>
    <t>PMC13</t>
  </si>
  <si>
    <t>CE14</t>
  </si>
  <si>
    <t>PMC14</t>
  </si>
  <si>
    <t>CE15</t>
  </si>
  <si>
    <t>Scoop</t>
  </si>
  <si>
    <t>PMC15</t>
  </si>
  <si>
    <t>CE16</t>
  </si>
  <si>
    <t>Concrete Cylinder Mould/100</t>
  </si>
  <si>
    <t>PMC16</t>
  </si>
  <si>
    <t>CE17</t>
  </si>
  <si>
    <t>Rubber Capping Ring/150</t>
  </si>
  <si>
    <t>PMC17</t>
  </si>
  <si>
    <t>CE18</t>
  </si>
  <si>
    <t>Rubber Capping Ring/100</t>
  </si>
  <si>
    <t>PMC18</t>
  </si>
  <si>
    <t>CE19</t>
  </si>
  <si>
    <t>Concrete Cylinder Mould/150</t>
  </si>
  <si>
    <t>CC-8.1 (CM)</t>
  </si>
  <si>
    <t>PMC19</t>
  </si>
  <si>
    <t>CE20</t>
  </si>
  <si>
    <t>PMC20</t>
  </si>
  <si>
    <t>CE21</t>
  </si>
  <si>
    <t>PMC21</t>
  </si>
  <si>
    <t>CE22</t>
  </si>
  <si>
    <t>PMC22</t>
  </si>
  <si>
    <t>CE23</t>
  </si>
  <si>
    <t>PMC23</t>
  </si>
  <si>
    <t>CE24</t>
  </si>
  <si>
    <t>PMC24</t>
  </si>
  <si>
    <t>CE25</t>
  </si>
  <si>
    <t>Wooden Trawel</t>
  </si>
  <si>
    <t>PMC25</t>
  </si>
  <si>
    <t>PMC26</t>
  </si>
  <si>
    <t>PMC27</t>
  </si>
  <si>
    <t>PMC28</t>
  </si>
  <si>
    <t>PMC29</t>
  </si>
  <si>
    <t>PMC30</t>
  </si>
  <si>
    <t>PMC31</t>
  </si>
  <si>
    <t>PMC32</t>
  </si>
  <si>
    <t>PMC33</t>
  </si>
  <si>
    <t>PMC34</t>
  </si>
  <si>
    <t>PMC35</t>
  </si>
  <si>
    <t>PMC36</t>
  </si>
  <si>
    <t>PMC37</t>
  </si>
  <si>
    <t>Geo Con</t>
  </si>
  <si>
    <t>PMC38</t>
  </si>
  <si>
    <t>PMC39</t>
  </si>
  <si>
    <t>PMC40</t>
  </si>
  <si>
    <t>PMC41</t>
  </si>
  <si>
    <t>PMC42</t>
  </si>
  <si>
    <t>PMC43</t>
  </si>
  <si>
    <t>PMC44</t>
  </si>
  <si>
    <t>PMC45</t>
  </si>
  <si>
    <t>PMC46</t>
  </si>
  <si>
    <t>PMC47</t>
  </si>
  <si>
    <t>PMC48</t>
  </si>
  <si>
    <t>PMC49</t>
  </si>
  <si>
    <t>CC-9 (RC)</t>
  </si>
  <si>
    <t>PMC50</t>
  </si>
  <si>
    <t>PMC51</t>
  </si>
  <si>
    <t>PMC52</t>
  </si>
  <si>
    <t>PMC53</t>
  </si>
  <si>
    <t>PMC54</t>
  </si>
  <si>
    <t>PMC55</t>
  </si>
  <si>
    <t>PMC56</t>
  </si>
  <si>
    <t>PMC57</t>
  </si>
  <si>
    <t>Cylinder Measuring Zig. + Base</t>
  </si>
  <si>
    <t>PMC58</t>
  </si>
  <si>
    <t>Cylinder Measuring Zig. Dial Gauge</t>
  </si>
  <si>
    <t>PMC59</t>
  </si>
  <si>
    <t>Circular Rubber Pads x 34</t>
  </si>
  <si>
    <t>PMC60</t>
  </si>
  <si>
    <t>PMC61</t>
  </si>
  <si>
    <t>Metal Scoop</t>
  </si>
  <si>
    <t>PMC62</t>
  </si>
  <si>
    <t>PMC63</t>
  </si>
  <si>
    <t>LAG00</t>
  </si>
  <si>
    <t>GENERAL</t>
  </si>
  <si>
    <t>PMG01</t>
  </si>
  <si>
    <t>EB</t>
  </si>
  <si>
    <t>Electronic Balance</t>
  </si>
  <si>
    <t>Mettler PM 4600</t>
  </si>
  <si>
    <t>CV-01</t>
  </si>
  <si>
    <t>Mass</t>
  </si>
  <si>
    <t>PMG02</t>
  </si>
  <si>
    <t>Kern 572</t>
  </si>
  <si>
    <t>PMG03</t>
  </si>
  <si>
    <t>Mettler PM16</t>
  </si>
  <si>
    <t>PMG04</t>
  </si>
  <si>
    <t>Precisa 16000D</t>
  </si>
  <si>
    <t>PMG05</t>
  </si>
  <si>
    <t>Mettler 3600</t>
  </si>
  <si>
    <t>PMG06</t>
  </si>
  <si>
    <t>DO</t>
  </si>
  <si>
    <t>Drying Oven</t>
  </si>
  <si>
    <t>Qualtex</t>
  </si>
  <si>
    <t>CV-03b</t>
  </si>
  <si>
    <t>Temp</t>
  </si>
  <si>
    <t>PMG07</t>
  </si>
  <si>
    <t>G1</t>
  </si>
  <si>
    <t>Sieve Shaker</t>
  </si>
  <si>
    <t>Ro-Tap</t>
  </si>
  <si>
    <t>PMG08</t>
  </si>
  <si>
    <t>SS</t>
  </si>
  <si>
    <t>Sample Splitter</t>
  </si>
  <si>
    <t>Geo-Lab</t>
  </si>
  <si>
    <t>CV-04</t>
  </si>
  <si>
    <t>PMG09</t>
  </si>
  <si>
    <t>PMG10</t>
  </si>
  <si>
    <t>PMG11</t>
  </si>
  <si>
    <t>G3</t>
  </si>
  <si>
    <t>Lab. Jaw Crusher</t>
  </si>
  <si>
    <t>BICO-INC</t>
  </si>
  <si>
    <t>PMG12</t>
  </si>
  <si>
    <t>G4</t>
  </si>
  <si>
    <t>Trolley</t>
  </si>
  <si>
    <t>Lemocol</t>
  </si>
  <si>
    <t>PMG13</t>
  </si>
  <si>
    <t>PMG14</t>
  </si>
  <si>
    <t>G7</t>
  </si>
  <si>
    <t>Electric Dryer</t>
  </si>
  <si>
    <t>Goldair</t>
  </si>
  <si>
    <t>PMG15</t>
  </si>
  <si>
    <t>G8</t>
  </si>
  <si>
    <t>Hot Plate</t>
  </si>
  <si>
    <t>Townson &amp; Mercer</t>
  </si>
  <si>
    <t>PMG16</t>
  </si>
  <si>
    <t>DY</t>
  </si>
  <si>
    <t>Dynamometer</t>
  </si>
  <si>
    <t>PMG17</t>
  </si>
  <si>
    <t>VC</t>
  </si>
  <si>
    <t>Vernier Caliper (300mm length)</t>
  </si>
  <si>
    <t>Etalon</t>
  </si>
  <si>
    <t>CV-06</t>
  </si>
  <si>
    <t>PMG18</t>
  </si>
  <si>
    <t>Vernier Caliper (530mm length)</t>
  </si>
  <si>
    <t>Mitutoyo</t>
  </si>
  <si>
    <t>PMG19</t>
  </si>
  <si>
    <t>Sample Splitter + 3 x Trays</t>
  </si>
  <si>
    <t xml:space="preserve">CV-04 </t>
  </si>
  <si>
    <t>PMG20</t>
  </si>
  <si>
    <t>PMG21</t>
  </si>
  <si>
    <t>PMG22</t>
  </si>
  <si>
    <t>PMG23</t>
  </si>
  <si>
    <t>PMG24</t>
  </si>
  <si>
    <t>POM43</t>
  </si>
  <si>
    <t>PMG25</t>
  </si>
  <si>
    <t>HL54</t>
  </si>
  <si>
    <t xml:space="preserve">Vernier Caliper </t>
  </si>
  <si>
    <t>PMG26</t>
  </si>
  <si>
    <t>POM323</t>
  </si>
  <si>
    <t>Hydrometer</t>
  </si>
  <si>
    <t>PMG27</t>
  </si>
  <si>
    <t>POM324</t>
  </si>
  <si>
    <t>PMG28</t>
  </si>
  <si>
    <t>POM329</t>
  </si>
  <si>
    <t>PMG29</t>
  </si>
  <si>
    <t>DOBROS2212</t>
  </si>
  <si>
    <t>Thermometer (glass, -10°C - 55°C)</t>
  </si>
  <si>
    <t>PMG30</t>
  </si>
  <si>
    <t>TR6717</t>
  </si>
  <si>
    <t>Thermometer (glass, 39.5°C - 70.5°C)</t>
  </si>
  <si>
    <t>PMG31</t>
  </si>
  <si>
    <t>GEA9486</t>
  </si>
  <si>
    <t>Thermometer (glass, 23°C - 27°C)</t>
  </si>
  <si>
    <t>PMG32</t>
  </si>
  <si>
    <t>Thermometer (glass, 0 F - 600 F)</t>
  </si>
  <si>
    <t>PMG33</t>
  </si>
  <si>
    <t>PMG34</t>
  </si>
  <si>
    <t>PMG35</t>
  </si>
  <si>
    <t>Thermometer (glass, 0 F - 220 F)</t>
  </si>
  <si>
    <t xml:space="preserve">Thermometers yet to be </t>
  </si>
  <si>
    <t>PMG36</t>
  </si>
  <si>
    <t>Thermometer (glass, 100 F - 600 F)</t>
  </si>
  <si>
    <t xml:space="preserve"> calibrated befor end of </t>
  </si>
  <si>
    <t>PMG37</t>
  </si>
  <si>
    <t xml:space="preserve">November </t>
  </si>
  <si>
    <t>PMG38</t>
  </si>
  <si>
    <t>MAX 250</t>
  </si>
  <si>
    <t>Thermometer (glass, 0°C - 250°C)</t>
  </si>
  <si>
    <t>PMG39</t>
  </si>
  <si>
    <t>GEA9491</t>
  </si>
  <si>
    <t>PMG40</t>
  </si>
  <si>
    <t>TR3838</t>
  </si>
  <si>
    <t>Thermometer (glass, 0°C - 130°C)</t>
  </si>
  <si>
    <t>PMG41</t>
  </si>
  <si>
    <t>TR2398</t>
  </si>
  <si>
    <t>Thermometer (glass, -0°C - 40°C)</t>
  </si>
  <si>
    <t>PMG42</t>
  </si>
  <si>
    <t>Thermometer (glass, -10°C - 200°C)</t>
  </si>
  <si>
    <t>PMG43</t>
  </si>
  <si>
    <t>Thermometer (glass, 0°C - 200°C)</t>
  </si>
  <si>
    <t>PMG44</t>
  </si>
  <si>
    <t>Thermometer (glass, -10°C - 110°C)</t>
  </si>
  <si>
    <t>PMG45</t>
  </si>
  <si>
    <t xml:space="preserve">Thermometer </t>
  </si>
  <si>
    <t xml:space="preserve"> daily temp. for Oven</t>
  </si>
  <si>
    <t>PMG46</t>
  </si>
  <si>
    <t>Calibration weight, 2000g</t>
  </si>
  <si>
    <t>PMG47</t>
  </si>
  <si>
    <t>POM190</t>
  </si>
  <si>
    <t>Calibration weight, 1000g</t>
  </si>
  <si>
    <t>PMG48</t>
  </si>
  <si>
    <t>HL23</t>
  </si>
  <si>
    <t>Calibration weight</t>
  </si>
  <si>
    <t>PMG49</t>
  </si>
  <si>
    <t>Thermometer (glass, -4.5°C - 154.5°C)</t>
  </si>
  <si>
    <t>Ref. Thermometer</t>
  </si>
  <si>
    <t>PMG50</t>
  </si>
  <si>
    <t>PMG51</t>
  </si>
  <si>
    <t>PMG52</t>
  </si>
  <si>
    <t>PMG53</t>
  </si>
  <si>
    <t>PMG54</t>
  </si>
  <si>
    <t>PMG55</t>
  </si>
  <si>
    <t>Thermometer (concrete, 0°C - 50°C)</t>
  </si>
  <si>
    <t>PMG56</t>
  </si>
  <si>
    <t>PMG57</t>
  </si>
  <si>
    <t>Thermometer (max &amp; min)</t>
  </si>
  <si>
    <t>PMG58</t>
  </si>
  <si>
    <t>LAS00</t>
  </si>
  <si>
    <t>SOILS</t>
  </si>
  <si>
    <t>PMS01</t>
  </si>
  <si>
    <t>LL01</t>
  </si>
  <si>
    <t>Atterberg Limit Machine</t>
  </si>
  <si>
    <t>CS-3.1.1 (M)/(Mi)</t>
  </si>
  <si>
    <t>WG</t>
  </si>
  <si>
    <t>PMS02</t>
  </si>
  <si>
    <t>LL02</t>
  </si>
  <si>
    <t>PMS03</t>
  </si>
  <si>
    <t>LL03</t>
  </si>
  <si>
    <t>Standard Compaction Hammer</t>
  </si>
  <si>
    <t>CS-5.1.1 (CR)</t>
  </si>
  <si>
    <t>PMS04</t>
  </si>
  <si>
    <t>LL04</t>
  </si>
  <si>
    <t>PMS05</t>
  </si>
  <si>
    <t>LL05</t>
  </si>
  <si>
    <t>Geo lab.</t>
  </si>
  <si>
    <t>PMS06</t>
  </si>
  <si>
    <t>LL06</t>
  </si>
  <si>
    <t>Modified Compaction Hammer</t>
  </si>
  <si>
    <t xml:space="preserve"> Pro lab.</t>
  </si>
  <si>
    <t>PMS07</t>
  </si>
  <si>
    <t>LL07</t>
  </si>
  <si>
    <t>Grooving Tool (ASTM)</t>
  </si>
  <si>
    <t>CS-3.1.1 (GT)</t>
  </si>
  <si>
    <t>PMS08</t>
  </si>
  <si>
    <t>LL08</t>
  </si>
  <si>
    <t>PMS09</t>
  </si>
  <si>
    <t>LL09</t>
  </si>
  <si>
    <t>PMS10</t>
  </si>
  <si>
    <t>LL10</t>
  </si>
  <si>
    <t>PMS11</t>
  </si>
  <si>
    <t>LL11</t>
  </si>
  <si>
    <t>Grooving Tool (Casagrande)</t>
  </si>
  <si>
    <t>PMS12</t>
  </si>
  <si>
    <t>LL12</t>
  </si>
  <si>
    <t>PRO-lab.</t>
  </si>
  <si>
    <t>PMS13</t>
  </si>
  <si>
    <t>LL13</t>
  </si>
  <si>
    <t>PMS14</t>
  </si>
  <si>
    <t>LL14</t>
  </si>
  <si>
    <t>Spatula, 150mm Blade</t>
  </si>
  <si>
    <t>PMS15</t>
  </si>
  <si>
    <t>LL15</t>
  </si>
  <si>
    <t>Linear Shrinkage Mould (S)</t>
  </si>
  <si>
    <t>CS-3.4.1 (MO)</t>
  </si>
  <si>
    <t>PMS16</t>
  </si>
  <si>
    <t>LL16</t>
  </si>
  <si>
    <t>PMS17</t>
  </si>
  <si>
    <t>LL17</t>
  </si>
  <si>
    <t>PMS18</t>
  </si>
  <si>
    <t>LL18</t>
  </si>
  <si>
    <t>PMS19</t>
  </si>
  <si>
    <t>LL19</t>
  </si>
  <si>
    <t>Linear Shrinkage Mould (L)</t>
  </si>
  <si>
    <t>PMS20</t>
  </si>
  <si>
    <t>LL20</t>
  </si>
  <si>
    <t>PMS21</t>
  </si>
  <si>
    <t>LL21</t>
  </si>
  <si>
    <t>PMS22</t>
  </si>
  <si>
    <t>LL22</t>
  </si>
  <si>
    <t>PMS23</t>
  </si>
  <si>
    <t>LL23</t>
  </si>
  <si>
    <t>PMS24</t>
  </si>
  <si>
    <t>LL24</t>
  </si>
  <si>
    <t>300 x 63mm Seive</t>
  </si>
  <si>
    <t>PMS25</t>
  </si>
  <si>
    <t>LL25</t>
  </si>
  <si>
    <t>PMS26</t>
  </si>
  <si>
    <t>LL26</t>
  </si>
  <si>
    <t xml:space="preserve">                 </t>
  </si>
  <si>
    <t>PMS27</t>
  </si>
  <si>
    <t>LL27</t>
  </si>
  <si>
    <t>PMS28</t>
  </si>
  <si>
    <t>LL28</t>
  </si>
  <si>
    <t>PMS29</t>
  </si>
  <si>
    <t>LL29</t>
  </si>
  <si>
    <t>PMS30</t>
  </si>
  <si>
    <t>LL30</t>
  </si>
  <si>
    <t>300 x 6.7mm Seive</t>
  </si>
  <si>
    <t>PMS31</t>
  </si>
  <si>
    <t>LL31</t>
  </si>
  <si>
    <t>300 x 4.75mm Seive</t>
  </si>
  <si>
    <t>PMS32</t>
  </si>
  <si>
    <t>LL32</t>
  </si>
  <si>
    <t>300 mm Recive Pan/Lid</t>
  </si>
  <si>
    <t xml:space="preserve">All sieves yet to be </t>
  </si>
  <si>
    <t>PMS33</t>
  </si>
  <si>
    <t>LS01</t>
  </si>
  <si>
    <t>200 x 2.36mm Seive</t>
  </si>
  <si>
    <t>Geo-lab.</t>
  </si>
  <si>
    <t>PMS34</t>
  </si>
  <si>
    <t>LS02</t>
  </si>
  <si>
    <t>200 x 1.18mm Seive</t>
  </si>
  <si>
    <t>PMS35</t>
  </si>
  <si>
    <t>LS03</t>
  </si>
  <si>
    <t>200 x 600 Micron Seive</t>
  </si>
  <si>
    <t>PMS36</t>
  </si>
  <si>
    <t>LA04</t>
  </si>
  <si>
    <t>200 x 425 Micron Seive</t>
  </si>
  <si>
    <t>PMS37</t>
  </si>
  <si>
    <t>LS05</t>
  </si>
  <si>
    <t>200 x 300 Micron Seive</t>
  </si>
  <si>
    <t>PMS38</t>
  </si>
  <si>
    <t>LS06</t>
  </si>
  <si>
    <t>200 x 150 Micron Seive</t>
  </si>
  <si>
    <t>PMS39</t>
  </si>
  <si>
    <t>LS07</t>
  </si>
  <si>
    <t>200 x 75 Micron Seive</t>
  </si>
  <si>
    <t>PMS40</t>
  </si>
  <si>
    <t>LS08</t>
  </si>
  <si>
    <t>200 mm Recive Pan/Lid</t>
  </si>
  <si>
    <t>PMS41</t>
  </si>
  <si>
    <t>LS09</t>
  </si>
  <si>
    <t>75 Micron Wash Sieve</t>
  </si>
  <si>
    <t>PMS42</t>
  </si>
  <si>
    <t>LS10</t>
  </si>
  <si>
    <t>CBR Mould (plus Base &amp; Collar)</t>
  </si>
  <si>
    <t>CS-6.1.1 (MB)</t>
  </si>
  <si>
    <t>PMS43</t>
  </si>
  <si>
    <t>LS11</t>
  </si>
  <si>
    <t>PMS44</t>
  </si>
  <si>
    <t>LS12</t>
  </si>
  <si>
    <t>PMS45</t>
  </si>
  <si>
    <t>LS13</t>
  </si>
  <si>
    <t>PMS46</t>
  </si>
  <si>
    <t>LS14</t>
  </si>
  <si>
    <t>PMS47</t>
  </si>
  <si>
    <t>LS15</t>
  </si>
  <si>
    <t>PMS48</t>
  </si>
  <si>
    <t>LS16</t>
  </si>
  <si>
    <t>PMS49</t>
  </si>
  <si>
    <t>LS17</t>
  </si>
  <si>
    <t>PMS50</t>
  </si>
  <si>
    <t>LS18</t>
  </si>
  <si>
    <t>PMS51</t>
  </si>
  <si>
    <t>LS19</t>
  </si>
  <si>
    <t>PMS52</t>
  </si>
  <si>
    <t>LS20</t>
  </si>
  <si>
    <t>Spacer Disc 150mm Diameter</t>
  </si>
  <si>
    <t>CS-6.1.1 (SD)</t>
  </si>
  <si>
    <t>PMS53</t>
  </si>
  <si>
    <t>LS21</t>
  </si>
  <si>
    <t>Steel Straight Edge</t>
  </si>
  <si>
    <t>CS-5.1.1 (SE)</t>
  </si>
  <si>
    <t>PMS54</t>
  </si>
  <si>
    <t>LS22</t>
  </si>
  <si>
    <t>PMS55</t>
  </si>
  <si>
    <t>LS23</t>
  </si>
  <si>
    <t>Cone and Metal Tray, 200mm</t>
  </si>
  <si>
    <t>PMS56</t>
  </si>
  <si>
    <t>LS24</t>
  </si>
  <si>
    <t>CBR Extruder</t>
  </si>
  <si>
    <t>CS-6.1.1 (SE)</t>
  </si>
  <si>
    <t>PMS57</t>
  </si>
  <si>
    <t>LS25</t>
  </si>
  <si>
    <t>Proving Dial Gauge</t>
  </si>
  <si>
    <t>PMS58</t>
  </si>
  <si>
    <t>LS26</t>
  </si>
  <si>
    <t>PMS59</t>
  </si>
  <si>
    <t>LS27</t>
  </si>
  <si>
    <t>PMS60</t>
  </si>
  <si>
    <t>LS28</t>
  </si>
  <si>
    <t>PMS61</t>
  </si>
  <si>
    <t>LS29</t>
  </si>
  <si>
    <t>PMS62</t>
  </si>
  <si>
    <t>LS30</t>
  </si>
  <si>
    <t>PMS63</t>
  </si>
  <si>
    <t>LS31</t>
  </si>
  <si>
    <t>Dial Gauge</t>
  </si>
  <si>
    <t>PMS64</t>
  </si>
  <si>
    <t>LS32</t>
  </si>
  <si>
    <t>PMS65</t>
  </si>
  <si>
    <t>LS33</t>
  </si>
  <si>
    <t>PMS66</t>
  </si>
  <si>
    <t>LS34</t>
  </si>
  <si>
    <t>PMS67</t>
  </si>
  <si>
    <t>LS35</t>
  </si>
  <si>
    <t>PMS68</t>
  </si>
  <si>
    <t>LS36</t>
  </si>
  <si>
    <t>PMS69</t>
  </si>
  <si>
    <t>LS37</t>
  </si>
  <si>
    <t>PMS70</t>
  </si>
  <si>
    <t>LS38</t>
  </si>
  <si>
    <t>PMS71</t>
  </si>
  <si>
    <t>LS39</t>
  </si>
  <si>
    <t>PMS72</t>
  </si>
  <si>
    <t>LS40</t>
  </si>
  <si>
    <t>PMS73</t>
  </si>
  <si>
    <t>LS41</t>
  </si>
  <si>
    <t>Proving Dial Gauge(Field CBR)</t>
  </si>
  <si>
    <t>PMS74</t>
  </si>
  <si>
    <t>Proving Ring</t>
  </si>
  <si>
    <t>PMS75</t>
  </si>
  <si>
    <t>Sand Replacement Bottles</t>
  </si>
  <si>
    <t>PMS76</t>
  </si>
  <si>
    <t>PMS77</t>
  </si>
  <si>
    <t>PMS78</t>
  </si>
  <si>
    <t>PMS79</t>
  </si>
  <si>
    <t>PMS80</t>
  </si>
  <si>
    <t>PMS81</t>
  </si>
  <si>
    <t>PMS82</t>
  </si>
  <si>
    <t>PMS83</t>
  </si>
  <si>
    <t>PMS84</t>
  </si>
  <si>
    <t>PMS85</t>
  </si>
  <si>
    <t>PMS86</t>
  </si>
  <si>
    <t>PMS87</t>
  </si>
  <si>
    <t>PMS88</t>
  </si>
  <si>
    <t>PMS89</t>
  </si>
  <si>
    <t>Ref. Sieve Set</t>
  </si>
  <si>
    <t>PMS90</t>
  </si>
  <si>
    <t>PMS91</t>
  </si>
  <si>
    <t>PMS92</t>
  </si>
  <si>
    <t>PMS93</t>
  </si>
  <si>
    <t>PMS94</t>
  </si>
  <si>
    <t>PMS95</t>
  </si>
  <si>
    <t>PMS96</t>
  </si>
  <si>
    <t>PMS97</t>
  </si>
  <si>
    <t>PMS98</t>
  </si>
  <si>
    <t>PMS99</t>
  </si>
  <si>
    <t>PMS100</t>
  </si>
  <si>
    <t>PMS101</t>
  </si>
  <si>
    <t>PMS102</t>
  </si>
  <si>
    <t>PMS103</t>
  </si>
  <si>
    <t>PMS104</t>
  </si>
  <si>
    <t>Compaction Mould A</t>
  </si>
  <si>
    <t>CS-5.1.1 (CM)</t>
  </si>
  <si>
    <t>PMS105</t>
  </si>
  <si>
    <t>Calibrating Cylinder/150</t>
  </si>
  <si>
    <t>CS-5.3.1 (CC)</t>
  </si>
  <si>
    <t>PMS106</t>
  </si>
  <si>
    <t>PMS107</t>
  </si>
  <si>
    <t>Calibrating Cylinder/200</t>
  </si>
  <si>
    <t>PMS108</t>
  </si>
  <si>
    <t>Aoutomatic Compactor</t>
  </si>
  <si>
    <t>PMS109</t>
  </si>
  <si>
    <t>Stem &amp; Plate + Anunular/Slotted Surcharges</t>
  </si>
  <si>
    <t>CS-6.1.1 (PP)/(SW)</t>
  </si>
  <si>
    <t>Dim/Mass</t>
  </si>
  <si>
    <t>PMS110</t>
  </si>
  <si>
    <t>PMS111</t>
  </si>
  <si>
    <t>PMS112</t>
  </si>
  <si>
    <t>PMS113</t>
  </si>
  <si>
    <t>PMS114</t>
  </si>
  <si>
    <t>PMS115</t>
  </si>
  <si>
    <t>PMS116</t>
  </si>
  <si>
    <t>PMS117</t>
  </si>
  <si>
    <t>Stem &amp; Plate + Slotted Surcharges</t>
  </si>
  <si>
    <t>PMS118</t>
  </si>
  <si>
    <t>PMS119</t>
  </si>
  <si>
    <t>CBR-Metal Tripod</t>
  </si>
  <si>
    <t>CS-6.1.1 (MT)</t>
  </si>
  <si>
    <t>PMS120</t>
  </si>
  <si>
    <t>POM257</t>
  </si>
  <si>
    <t>PMS121</t>
  </si>
  <si>
    <t>POM258</t>
  </si>
  <si>
    <t>PMS122</t>
  </si>
  <si>
    <t>CBR Machine</t>
  </si>
  <si>
    <t>CS-3.4.1 (PR)</t>
  </si>
  <si>
    <t>New-yet to be calibrated</t>
  </si>
  <si>
    <t>PMS123</t>
  </si>
  <si>
    <t>Aoutomatic Cone Penetrometer</t>
  </si>
  <si>
    <t>CS-3.9.1 (RC)</t>
  </si>
  <si>
    <t>PMS124</t>
  </si>
  <si>
    <t>PMS125</t>
  </si>
  <si>
    <t>PMS126</t>
  </si>
  <si>
    <t xml:space="preserve">CBR Mould </t>
  </si>
  <si>
    <t>PMS127</t>
  </si>
  <si>
    <t>PMS128</t>
  </si>
  <si>
    <t>PMS129</t>
  </si>
  <si>
    <t>PMS130</t>
  </si>
  <si>
    <t>PMS131</t>
  </si>
  <si>
    <t>PMS132</t>
  </si>
  <si>
    <t>PMS133</t>
  </si>
  <si>
    <t>PMS134</t>
  </si>
  <si>
    <t>PMS135</t>
  </si>
  <si>
    <t>PMS136</t>
  </si>
  <si>
    <t>PMS137</t>
  </si>
  <si>
    <t>PMS138</t>
  </si>
  <si>
    <t>Compaction Mould B</t>
  </si>
  <si>
    <t>PMS139</t>
  </si>
  <si>
    <t>Nucler Gauge</t>
  </si>
  <si>
    <t>Troxller 3440</t>
  </si>
  <si>
    <t>LABORATORY PERSONALS INFORMATION</t>
  </si>
  <si>
    <t>COMPETENCY MATRIX</t>
  </si>
  <si>
    <t>No</t>
  </si>
  <si>
    <t>Name</t>
  </si>
  <si>
    <t>Qualification</t>
  </si>
  <si>
    <t>Designation</t>
  </si>
  <si>
    <t>Email</t>
  </si>
  <si>
    <t>WhatsApp</t>
  </si>
  <si>
    <t>Tracey Pinje</t>
  </si>
  <si>
    <t>Diploma - Civil</t>
  </si>
  <si>
    <t>RLM</t>
  </si>
  <si>
    <t>George Tolipio</t>
  </si>
  <si>
    <t>MTE</t>
  </si>
  <si>
    <t>Angela Dei</t>
  </si>
  <si>
    <t>STO1</t>
  </si>
  <si>
    <t>Jack Nugints</t>
  </si>
  <si>
    <t>Grade 12</t>
  </si>
  <si>
    <t>STO2</t>
  </si>
  <si>
    <t>Daniel Noki</t>
  </si>
  <si>
    <t>TO2</t>
  </si>
  <si>
    <t>Joachim Siune</t>
  </si>
  <si>
    <t>TO1</t>
  </si>
  <si>
    <t>Sheba Bonoro</t>
  </si>
  <si>
    <t>TA</t>
  </si>
  <si>
    <t>Simin Gore</t>
  </si>
  <si>
    <t>Alex Hasu</t>
  </si>
  <si>
    <t>Branch’s Master list of Document -  
Group 4 - Worksheet Forms (lab &amp; field)</t>
  </si>
  <si>
    <t>This group contains the Test Worksheets Forms used in the Branch. All documents are produced and revised by the Branch. The Quality Manager of the Branch ensures to control the updated version and make it available to the staff.</t>
  </si>
  <si>
    <t>SOILS (S)</t>
  </si>
  <si>
    <t>Form No.</t>
  </si>
  <si>
    <t>Titles</t>
  </si>
  <si>
    <t>Methods (1)</t>
  </si>
  <si>
    <t>Rev. date.</t>
  </si>
  <si>
    <t>S- 1</t>
  </si>
  <si>
    <t>Sampling &amp; preparation of soil</t>
  </si>
  <si>
    <t>1289.1.1 &amp; 1.2.1</t>
  </si>
  <si>
    <t>S-2.1.1</t>
  </si>
  <si>
    <t>Moisture Content determination</t>
  </si>
  <si>
    <r>
      <rPr>
        <sz val="12"/>
        <color theme="1"/>
        <rFont val="Calibri"/>
        <charset val="134"/>
        <scheme val="minor"/>
      </rPr>
      <t>1289.2.1.1</t>
    </r>
    <r>
      <rPr>
        <sz val="12"/>
        <color theme="1"/>
        <rFont val="Calibri"/>
        <charset val="134"/>
      </rPr>
      <t xml:space="preserve"> &amp; 2.1.4</t>
    </r>
  </si>
  <si>
    <t>S-3.1.1</t>
  </si>
  <si>
    <t>Atterberg Limits &amp; Linear Shrinkage</t>
  </si>
  <si>
    <r>
      <rPr>
        <sz val="12"/>
        <color theme="1"/>
        <rFont val="Calibri"/>
        <charset val="134"/>
        <scheme val="minor"/>
      </rPr>
      <t>1289.3.1.1, 3.1.2, 3.2.1,</t>
    </r>
    <r>
      <rPr>
        <sz val="12"/>
        <color theme="1"/>
        <rFont val="Calibri"/>
        <charset val="134"/>
      </rPr>
      <t xml:space="preserve"> </t>
    </r>
  </si>
  <si>
    <t>S-3.9</t>
  </si>
  <si>
    <t>Cone Liquid Limit &amp; Linear Shrinkage</t>
  </si>
  <si>
    <r>
      <rPr>
        <sz val="12"/>
        <color theme="1"/>
        <rFont val="Calibri"/>
        <charset val="134"/>
        <scheme val="minor"/>
      </rPr>
      <t>1289.3.9, 3.3.1,</t>
    </r>
    <r>
      <rPr>
        <sz val="12"/>
        <color theme="1"/>
        <rFont val="Calibri"/>
        <charset val="134"/>
      </rPr>
      <t xml:space="preserve"> 3.3.2,</t>
    </r>
  </si>
  <si>
    <t>S-3.5.1</t>
  </si>
  <si>
    <t>Soil Particle Density of a Soil</t>
  </si>
  <si>
    <t>1289.3.5.1</t>
  </si>
  <si>
    <t>S-3.6.1</t>
  </si>
  <si>
    <t>Particle Size Distribution – Sieving + Hydrometer Analysis</t>
  </si>
  <si>
    <r>
      <rPr>
        <sz val="12"/>
        <color theme="1"/>
        <rFont val="Calibri"/>
        <charset val="134"/>
        <scheme val="minor"/>
      </rPr>
      <t>1289.3.6.1</t>
    </r>
    <r>
      <rPr>
        <sz val="12"/>
        <color theme="1"/>
        <rFont val="Calibri"/>
        <charset val="134"/>
      </rPr>
      <t xml:space="preserve"> &amp; 3.6.3</t>
    </r>
  </si>
  <si>
    <t>S-3.6.3</t>
  </si>
  <si>
    <t>Particle size Distribution - Hydrometer Analysis</t>
  </si>
  <si>
    <t>1289.3.6.3</t>
  </si>
  <si>
    <t>S-5.1.1</t>
  </si>
  <si>
    <t>Dry Density/ Moisture Content Relationship</t>
  </si>
  <si>
    <t>1289.5.1.1 &amp; 5.2.1</t>
  </si>
  <si>
    <t>S-5.3.1</t>
  </si>
  <si>
    <t>Field Density (Sand Replacement Method)</t>
  </si>
  <si>
    <t>1289.5.3.1</t>
  </si>
  <si>
    <t>S-6.1.1</t>
  </si>
  <si>
    <t>CBR of soil (Remolded / Undisturbed /Field-in-place) soil.</t>
  </si>
  <si>
    <t>1289.6.1.1</t>
  </si>
  <si>
    <t>MDR GA</t>
  </si>
  <si>
    <t>Moisture/Density Relationship Graph A</t>
  </si>
  <si>
    <t>MDR GB</t>
  </si>
  <si>
    <t>Moisture/Density Relationship Graph B</t>
  </si>
  <si>
    <t>MDR GC</t>
  </si>
  <si>
    <t>Moisture/Density Relationship Graph C</t>
  </si>
  <si>
    <t>MDR GD</t>
  </si>
  <si>
    <t>Moisture/Density Relationship Graph D</t>
  </si>
  <si>
    <t>MDR GE</t>
  </si>
  <si>
    <t>Moisture/Density Relationship Graph E</t>
  </si>
  <si>
    <t>S-7.1.1</t>
  </si>
  <si>
    <t>Shrink-swell Index</t>
  </si>
  <si>
    <t>1289.7.1.1</t>
  </si>
  <si>
    <r>
      <rPr>
        <sz val="9"/>
        <color theme="1"/>
        <rFont val="Calibri"/>
        <charset val="134"/>
        <scheme val="minor"/>
      </rPr>
      <t>(1) </t>
    </r>
    <r>
      <rPr>
        <sz val="9"/>
        <color theme="1"/>
        <rFont val="Calibri"/>
        <charset val="134"/>
      </rPr>
      <t>When shaded, standards are in the scope of accreditation of at least 1 site</t>
    </r>
  </si>
  <si>
    <t>AGGREGATES (A)</t>
  </si>
  <si>
    <t>A-3.1</t>
  </si>
  <si>
    <t>Sampling Aggregates</t>
  </si>
  <si>
    <t>1141.3.1</t>
  </si>
  <si>
    <t>A-4</t>
  </si>
  <si>
    <t>Bulk Density of Aggregate</t>
  </si>
  <si>
    <t>A-5</t>
  </si>
  <si>
    <t>Bulk Density &amp; water Absorption of Aggregates</t>
  </si>
  <si>
    <t>1141.5 &amp; .6.1</t>
  </si>
  <si>
    <t>A-11</t>
  </si>
  <si>
    <t>Particle Size Distribution - Aggregates</t>
  </si>
  <si>
    <t>1141.11.1</t>
  </si>
  <si>
    <t>A-14</t>
  </si>
  <si>
    <t>Particle Shape by Proportional Caliper</t>
  </si>
  <si>
    <t>A-15</t>
  </si>
  <si>
    <t>A-18</t>
  </si>
  <si>
    <t>Crushed Particles In Coarse Aggregate</t>
  </si>
  <si>
    <t>A-20.1</t>
  </si>
  <si>
    <t>Average Least Dimension of coarse Aggregates</t>
  </si>
  <si>
    <t>1141.20.1</t>
  </si>
  <si>
    <t>A-20.2</t>
  </si>
  <si>
    <t>Average Least Dimension of fine Aggregates</t>
  </si>
  <si>
    <t>1141. 20.2</t>
  </si>
  <si>
    <t>A-21</t>
  </si>
  <si>
    <t>Aggregate Crushing Value</t>
  </si>
  <si>
    <t>A-22</t>
  </si>
  <si>
    <t>Wet/ Dry Strength Variation/ 10 % Fines</t>
  </si>
  <si>
    <t>A-23</t>
  </si>
  <si>
    <t>Los Angeles Abrasion Test</t>
  </si>
  <si>
    <t>A-24-F</t>
  </si>
  <si>
    <t>Sodium Sulphate Soundness Test – Fine Aggregates</t>
  </si>
  <si>
    <t>A-24-C</t>
  </si>
  <si>
    <t>Sodium Sulphate Soundness Test – Coarse Aggregates</t>
  </si>
  <si>
    <t>A-30</t>
  </si>
  <si>
    <t>Coarse Aggregate quality by Visual Comparison</t>
  </si>
  <si>
    <t>A-32</t>
  </si>
  <si>
    <t>Weak Particles (clay lumps, soft and friable particles)</t>
  </si>
  <si>
    <t>A-G6.2.4</t>
  </si>
  <si>
    <t>Fractured Faces</t>
  </si>
  <si>
    <t>DoW specs 6.2.4(e)</t>
  </si>
  <si>
    <t>CONCRETE (C) &amp; MASONRY &amp; PAVER UNITS (M)</t>
  </si>
  <si>
    <t>S</t>
  </si>
  <si>
    <t>C- 1</t>
  </si>
  <si>
    <t>Slump &amp; Sampling of fresh concrete(2 pages)</t>
  </si>
  <si>
    <t>1012.1 &amp; 3.1</t>
  </si>
  <si>
    <t>C – 1b</t>
  </si>
  <si>
    <t>Concrete labels</t>
  </si>
  <si>
    <t>C- 9</t>
  </si>
  <si>
    <t>Concrete Cylinder compressive strength test</t>
  </si>
  <si>
    <t>M- 4</t>
  </si>
  <si>
    <t>Masonry Units (Blocks) - Compressive strength test</t>
  </si>
  <si>
    <t>CP- 5</t>
  </si>
  <si>
    <t>Concrete Paver (Blocks) – Breaking load</t>
  </si>
  <si>
    <t>FIELD (GEOTECHNICAL) INVESTIGATION (GI)</t>
  </si>
  <si>
    <t>GI.6.3.2-E</t>
  </si>
  <si>
    <t>Dynamic Cone Penetrometer Test (9 kg) – Extendable</t>
  </si>
  <si>
    <t>1289.6.3.2</t>
  </si>
  <si>
    <t>GI.6.3.2-S</t>
  </si>
  <si>
    <t>Dynamic Cone Penetrometer Test (9 kg) – Standard</t>
  </si>
  <si>
    <t>Q701--A</t>
  </si>
  <si>
    <t>Benkelman Beam Deflection (2 sides of the road)</t>
  </si>
  <si>
    <t>Q701-1978</t>
  </si>
  <si>
    <t>Q701--B</t>
  </si>
  <si>
    <t>Benkelman Beam Deflection (1 side of the road)</t>
  </si>
  <si>
    <t>ASTM-D1196</t>
  </si>
  <si>
    <t>Plate Bearing Test</t>
  </si>
  <si>
    <t>BS 1377 Part 9 / in-House</t>
  </si>
  <si>
    <t>GI-PTL</t>
  </si>
  <si>
    <t>Point Load Test</t>
  </si>
  <si>
    <t>IS 8764 / In-House</t>
  </si>
  <si>
    <r>
      <rPr>
        <sz val="10"/>
        <color theme="1"/>
        <rFont val="Calibri"/>
        <charset val="134"/>
        <scheme val="minor"/>
      </rPr>
      <t>1. </t>
    </r>
    <r>
      <rPr>
        <b/>
        <sz val="10"/>
        <color theme="1"/>
        <rFont val="Calibri"/>
        <charset val="134"/>
      </rPr>
      <t>Highlighted in green, test not conducted</t>
    </r>
  </si>
  <si>
    <r>
      <rPr>
        <sz val="10"/>
        <color theme="1"/>
        <rFont val="Calibri"/>
        <charset val="134"/>
        <scheme val="minor"/>
      </rPr>
      <t>2. </t>
    </r>
    <r>
      <rPr>
        <b/>
        <sz val="10"/>
        <color theme="1"/>
        <rFont val="Calibri"/>
        <charset val="134"/>
      </rPr>
      <t>Highlighted in red, Forms are yet to be updated</t>
    </r>
  </si>
  <si>
    <t xml:space="preserve">Branch’s Master list of Document
Group 2 - Test Standards
 </t>
  </si>
  <si>
    <t>This group contains the Test Standard (test method) used in the Branch.  All documents are produced and revised by an external organization. The Quality Manager of the Branch ensures to obtain the updated version and make it available to the staff.</t>
  </si>
  <si>
    <t>Standard no.</t>
  </si>
  <si>
    <t>Title</t>
  </si>
  <si>
    <t>Accreditation</t>
  </si>
  <si>
    <t>POM</t>
  </si>
  <si>
    <t>LAE</t>
  </si>
  <si>
    <t>HGN</t>
  </si>
  <si>
    <t>KPO</t>
  </si>
  <si>
    <t>AS 1289.0</t>
  </si>
  <si>
    <t>LIST OF METHODS</t>
  </si>
  <si>
    <t>√</t>
  </si>
  <si>
    <t>AS 1289.1.1</t>
  </si>
  <si>
    <t>Sampling and preparation of soils - Preparation of disturbed soil sample for testing</t>
  </si>
  <si>
    <r>
      <rPr>
        <sz val="11"/>
        <color theme="1"/>
        <rFont val="Calibri"/>
        <charset val="134"/>
        <scheme val="minor"/>
      </rPr>
      <t xml:space="preserve">Amd2 </t>
    </r>
    <r>
      <rPr>
        <sz val="11"/>
        <color theme="1"/>
        <rFont val="Calibri"/>
        <charset val="134"/>
      </rPr>
      <t xml:space="preserve"> 2008</t>
    </r>
  </si>
  <si>
    <t>AS1289.1.2.1</t>
  </si>
  <si>
    <t>Sampling and preparation of soils - Disturbed samples – Standard method</t>
  </si>
  <si>
    <t>As1289.1.3.1</t>
  </si>
  <si>
    <t>Sampling and preparation of soils – Undisturbed samples – Standard method</t>
  </si>
  <si>
    <t>AS 1289.2.1.1</t>
  </si>
  <si>
    <t>Soil Moisture Content tests – Determination of the moisture content of a soil – Oven drying method - Standard method</t>
  </si>
  <si>
    <t>AS 1289.3.1.1</t>
  </si>
  <si>
    <t>Soil classification tests – Determination of the liquid limit of a soil – Four Point Casagrande Method - Standard method</t>
  </si>
  <si>
    <t>Recon-2017</t>
  </si>
  <si>
    <t>AS 1289.3.1.2</t>
  </si>
  <si>
    <r>
      <rPr>
        <sz val="11"/>
        <color theme="1"/>
        <rFont val="Calibri"/>
        <charset val="134"/>
        <scheme val="minor"/>
      </rPr>
      <t xml:space="preserve"> </t>
    </r>
    <r>
      <rPr>
        <sz val="11"/>
        <color theme="1"/>
        <rFont val="Calibri"/>
        <charset val="134"/>
      </rPr>
      <t>2009Soil classification tests – Determination of the liquid limit of a soil – One point Casagrande method (subsidiary method).</t>
    </r>
  </si>
  <si>
    <t>AS 1289.3.2.1</t>
  </si>
  <si>
    <t>Soil classification tests – Determination of the plastic limit of a soil - Standard method</t>
  </si>
  <si>
    <t>AS 1289.3.3.1</t>
  </si>
  <si>
    <t>Soil classification tests – Calculation of the plasticity index of a soil</t>
  </si>
  <si>
    <t>AS1289.3.3.2</t>
  </si>
  <si>
    <t>Soil classification tests – Calculation of the cone plasticity index of a soil</t>
  </si>
  <si>
    <t>AS 1289.3.4.1</t>
  </si>
  <si>
    <t>Soil classification tests – Determination of the linear shrinkage of a soil - Standard method</t>
  </si>
  <si>
    <t>AS 1289.3.5.1</t>
  </si>
  <si>
    <t>Soil classification tests – Determination of the soil particle density of a soil – Standard Method</t>
  </si>
  <si>
    <t>AS 1289.3.6.1</t>
  </si>
  <si>
    <t>Soil classification tests – Determination of the particle size distribution of a soil – Standard method of analysis by sieving.</t>
  </si>
  <si>
    <t>AS 1289.3.6.3</t>
  </si>
  <si>
    <t>Soil classification tests – Determination of the particle size distribution of a soil – Standard method of fine analysis using a hydrometer.</t>
  </si>
  <si>
    <t>AS 1289.3.7.1</t>
  </si>
  <si>
    <t>Soil classification tests – Determination of the sand equivalent of a soil using a power operated shaker.</t>
  </si>
  <si>
    <t>AS 1289.3.9.1</t>
  </si>
  <si>
    <t>Soil classification tests – Determination of the cone liquid limit of a soil.</t>
  </si>
  <si>
    <t>AS 1289.5.1.1</t>
  </si>
  <si>
    <t>Soil compacting and density tests – Determination of the dry density / moisture content relation of a soil using Standard compacting effort</t>
  </si>
  <si>
    <t>AS 1289.5.2.1</t>
  </si>
  <si>
    <t>Soil compaction and density tests – Determination of the dry density / moisture content relation of a soil using Modified compacting effort</t>
  </si>
  <si>
    <t>AS 1289.5.3.1</t>
  </si>
  <si>
    <t>Soil compaction and density tests – Determination of the field dry density of a soil – Sand replacement method using sand-cone pouring apparatus.</t>
  </si>
  <si>
    <t>AS 1289.5.4.1</t>
  </si>
  <si>
    <t>Soil compaction and density tests – Compaction control test – Dry density ratio, moisture variation and moisture ratio</t>
  </si>
  <si>
    <t>AS 1289.5.8.1</t>
  </si>
  <si>
    <r>
      <rPr>
        <sz val="11"/>
        <color theme="1"/>
        <rFont val="Calibri"/>
        <charset val="134"/>
        <scheme val="minor"/>
      </rPr>
      <t xml:space="preserve">Soil compaction and density tests – Determination of the field density </t>
    </r>
    <r>
      <rPr>
        <sz val="11"/>
        <color theme="1"/>
        <rFont val="Calibri"/>
        <charset val="134"/>
      </rPr>
      <t xml:space="preserve"> and field moisture content of a soil – using a nuclear surface moisture – Density gauge – Direct transmission</t>
    </r>
  </si>
  <si>
    <t>AS 1289.6.1.1</t>
  </si>
  <si>
    <t>2014           Amd1-2017</t>
  </si>
  <si>
    <t>Soil strength and consolidation tests – Determination of the California Bearing Ratio of a soil - Standard laboratory method for a remolded specimen</t>
  </si>
  <si>
    <t>AS 1289.6.3.2</t>
  </si>
  <si>
    <r>
      <rPr>
        <sz val="11"/>
        <color theme="1"/>
        <rFont val="Calibri"/>
        <charset val="134"/>
        <scheme val="minor"/>
      </rPr>
      <t xml:space="preserve">Soil strength and consolidation tests – Determination of the penetration resistance of a soil - </t>
    </r>
    <r>
      <rPr>
        <sz val="11"/>
        <color theme="1"/>
        <rFont val="Calibri"/>
        <charset val="134"/>
      </rPr>
      <t xml:space="preserve"> 9kg dynamic cone penetrometer test</t>
    </r>
  </si>
  <si>
    <t>AS1726</t>
  </si>
  <si>
    <t>Geotechnical site investigations</t>
  </si>
  <si>
    <t>AS5101.4</t>
  </si>
  <si>
    <t>Unconfined compressive strength of the compacted materials (Stabilized)</t>
  </si>
  <si>
    <t>AGGREGATES</t>
  </si>
  <si>
    <t>AS 1141.3.1</t>
  </si>
  <si>
    <t>2012 Amd1-2016</t>
  </si>
  <si>
    <t>Sampling aggregates</t>
  </si>
  <si>
    <t>AS 1141.4</t>
  </si>
  <si>
    <t>2000          Amd2-2019</t>
  </si>
  <si>
    <t>Bulk density of aggregates</t>
  </si>
  <si>
    <t>AS 1141.5</t>
  </si>
  <si>
    <t>Particle density and water absorption of fine aggregate</t>
  </si>
  <si>
    <t>AS 1141.6.1</t>
  </si>
  <si>
    <t>Particle density and water absorption of coarse aggregate – weighing-in-water method</t>
  </si>
  <si>
    <t>AS 1141.11.1</t>
  </si>
  <si>
    <t>Particle size distribution – Dry Sieving method</t>
  </si>
  <si>
    <t>AS 1141.14</t>
  </si>
  <si>
    <t>2007          Amd1-2016</t>
  </si>
  <si>
    <t>Particle shape by proportional caliper</t>
  </si>
  <si>
    <t>AS 1141.15</t>
  </si>
  <si>
    <t>1999           Amd2-2019</t>
  </si>
  <si>
    <t>Flakiness index</t>
  </si>
  <si>
    <t>AS1141.18</t>
  </si>
  <si>
    <t>1996 Amd2-2016</t>
  </si>
  <si>
    <t>AS 1141.20.1</t>
  </si>
  <si>
    <t>Average least dimension - Direct measurement (nominal size 10 mm and greater)</t>
  </si>
  <si>
    <t>AS 1141,20.2</t>
  </si>
  <si>
    <t>Average least dimension - Direct measurement (nominal sizes 5 mm and 7 mm)</t>
  </si>
  <si>
    <t>AS 1141.21</t>
  </si>
  <si>
    <t>Aggregate crushing value</t>
  </si>
  <si>
    <t>AS 1141.22</t>
  </si>
  <si>
    <t>Wet/Dry strength variation</t>
  </si>
  <si>
    <t>AS 1141.23</t>
  </si>
  <si>
    <t>Los Angeles Value</t>
  </si>
  <si>
    <t>AS 1141.24</t>
  </si>
  <si>
    <t>Aggregate Soundness – Evaluation by exposure to Sodium Sulphate Solution</t>
  </si>
  <si>
    <t>AS 1141.32</t>
  </si>
  <si>
    <t>Weak Particles (including clay lumps, soft and friable particles) in coarse aggregates</t>
  </si>
  <si>
    <t>AS 1141.51</t>
  </si>
  <si>
    <t>Unconfined compressive strength of the compacted materials (Aggregate)</t>
  </si>
  <si>
    <t>QTT 215</t>
  </si>
  <si>
    <t>AS 1012.1</t>
  </si>
  <si>
    <t>Sampling of concrete.</t>
  </si>
  <si>
    <t>AS 1012.3.1</t>
  </si>
  <si>
    <t>Determination of properties related to the consistence of concrete – Slump test.</t>
  </si>
  <si>
    <t>AS 1012.8.1</t>
  </si>
  <si>
    <t>Method for making and curing concrete – Compression and indirect tensile test specimens (in laboratory or in the field)</t>
  </si>
  <si>
    <t>AS 1012.8.2</t>
  </si>
  <si>
    <t>Method for making and curing concrete – Flexure test specimen</t>
  </si>
  <si>
    <t>AS 1012.9</t>
  </si>
  <si>
    <t>Determination of the Compressive strength of concrete specimens</t>
  </si>
  <si>
    <t>AS 1012.12.1</t>
  </si>
  <si>
    <t>Determination of mass per unit volume of hardened concrete – Rapid measuring method</t>
  </si>
  <si>
    <t>OTHER CONCRETE RELATED TEST METHODS</t>
  </si>
  <si>
    <t>AS/NZS 4456.0</t>
  </si>
  <si>
    <t>2003 + Inc Amd1</t>
  </si>
  <si>
    <t>Masonry units, segmental pavers and flags – Methods of test</t>
  </si>
  <si>
    <t>AS/NZS 4456.1</t>
  </si>
  <si>
    <t>Masonry units, segmental pavers and flags – Sampling for test</t>
  </si>
  <si>
    <t>AS/NZS 4456.2</t>
  </si>
  <si>
    <t xml:space="preserve">Masonry … Assessment of mean and standard deviation </t>
  </si>
  <si>
    <t>AS/NZS 4456.3</t>
  </si>
  <si>
    <t xml:space="preserve">Masonry… Determining dimensions </t>
  </si>
  <si>
    <t>AS/NZS 4456.4</t>
  </si>
  <si>
    <t xml:space="preserve">… Determining compressive strength of masonry units </t>
  </si>
  <si>
    <t>Amd1-2004</t>
  </si>
  <si>
    <t>Amd2-2009</t>
  </si>
  <si>
    <t>AS/NZS 4456.5</t>
  </si>
  <si>
    <t>2003 Inc Amd1 &amp;2</t>
  </si>
  <si>
    <t>… Determining the breaking load of segmental pavers and flags</t>
  </si>
  <si>
    <t>AS/NZS 4455.1</t>
  </si>
  <si>
    <t xml:space="preserve">Masonry units, pavers, flags and segmental retaining wall units, </t>
  </si>
  <si>
    <t>AS/NZS 4455.3</t>
  </si>
  <si>
    <t>IS8764/            ASTM D5731</t>
  </si>
  <si>
    <t>2014 / 2005</t>
  </si>
  <si>
    <t>Point Load Test (Rock Test)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</si>
</sst>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2" formatCode="_(&quot;$&quot;* #,##0_);_(&quot;$&quot;* \(#,##0\);_(&quot;$&quot;* &quot;-&quot;_);_(@_)"/>
    <numFmt numFmtId="176" formatCode="_ * #,##0.00_ ;_ * \-#,##0.00_ ;_ * &quot;-&quot;??_ ;_ @_ "/>
    <numFmt numFmtId="177" formatCode="_-&quot;$&quot;* #,##0.00_-;\-&quot;$&quot;* #,##0.00_-;_-&quot;$&quot;* &quot;-&quot;??_-;_-@_-"/>
    <numFmt numFmtId="178" formatCode="_ * #,##0_ ;_ * \-#,##0_ ;_ * &quot;-&quot;_ ;_ @_ "/>
    <numFmt numFmtId="179" formatCode="\K#,##0.00"/>
    <numFmt numFmtId="180" formatCode="yyyy/mm/dd;@"/>
    <numFmt numFmtId="181" formatCode="&quot;K&quot;#,##0.00"/>
    <numFmt numFmtId="182" formatCode="_-* #,##0.00_-;\-* #,##0.00_-;_-* &quot;-&quot;??_-;_-@_-"/>
  </numFmts>
  <fonts count="85">
    <font>
      <sz val="11"/>
      <color theme="1"/>
      <name val="Calibri"/>
      <charset val="134"/>
      <scheme val="minor"/>
    </font>
    <font>
      <b/>
      <sz val="14"/>
      <color theme="1"/>
      <name val="Maiandra GD"/>
      <charset val="134"/>
    </font>
    <font>
      <sz val="12"/>
      <color theme="1"/>
      <name val="Maiandra GD"/>
      <charset val="134"/>
    </font>
    <font>
      <b/>
      <sz val="4"/>
      <color theme="1"/>
      <name val="Maiandra GD"/>
      <charset val="134"/>
    </font>
    <font>
      <b/>
      <sz val="18"/>
      <color theme="1"/>
      <name val="Calibri"/>
      <charset val="134"/>
      <scheme val="minor"/>
    </font>
    <font>
      <b/>
      <sz val="14"/>
      <color theme="1"/>
      <name val="Calibri"/>
      <charset val="134"/>
      <scheme val="minor"/>
    </font>
    <font>
      <b/>
      <sz val="12"/>
      <color theme="1"/>
      <name val="Calibri"/>
      <charset val="134"/>
      <scheme val="minor"/>
    </font>
    <font>
      <sz val="14"/>
      <color theme="1"/>
      <name val="Calibri"/>
      <charset val="134"/>
      <scheme val="minor"/>
    </font>
    <font>
      <b/>
      <sz val="16"/>
      <color theme="1"/>
      <name val="Calibri"/>
      <charset val="134"/>
      <scheme val="minor"/>
    </font>
    <font>
      <sz val="11"/>
      <name val="Calibri"/>
      <charset val="134"/>
      <scheme val="minor"/>
    </font>
    <font>
      <b/>
      <sz val="11"/>
      <color theme="1"/>
      <name val="Calibri"/>
      <charset val="134"/>
      <scheme val="minor"/>
    </font>
    <font>
      <b/>
      <sz val="10"/>
      <color theme="1"/>
      <name val="Calibri"/>
      <charset val="134"/>
      <scheme val="minor"/>
    </font>
    <font>
      <b/>
      <sz val="20"/>
      <color theme="1"/>
      <name val="Calibri"/>
      <charset val="134"/>
      <scheme val="minor"/>
    </font>
    <font>
      <sz val="12"/>
      <color theme="1"/>
      <name val="Calibri"/>
      <charset val="134"/>
      <scheme val="minor"/>
    </font>
    <font>
      <sz val="10"/>
      <color theme="1"/>
      <name val="Calibri"/>
      <charset val="134"/>
      <scheme val="minor"/>
    </font>
    <font>
      <sz val="11"/>
      <color theme="1"/>
      <name val="Maiandra GD"/>
      <charset val="134"/>
    </font>
    <font>
      <b/>
      <sz val="8"/>
      <color theme="1"/>
      <name val="Maiandra GD"/>
      <charset val="134"/>
    </font>
    <font>
      <sz val="12"/>
      <color rgb="FF000000"/>
      <name val="Calibri"/>
      <charset val="134"/>
      <scheme val="minor"/>
    </font>
    <font>
      <sz val="9"/>
      <color theme="1"/>
      <name val="Calibri"/>
      <charset val="134"/>
      <scheme val="minor"/>
    </font>
    <font>
      <sz val="12"/>
      <color rgb="FFFF0000"/>
      <name val="Calibri"/>
      <charset val="134"/>
      <scheme val="minor"/>
    </font>
    <font>
      <sz val="10"/>
      <color rgb="FFFF0000"/>
      <name val="Calibri"/>
      <charset val="134"/>
      <scheme val="minor"/>
    </font>
    <font>
      <b/>
      <sz val="12"/>
      <name val="Arial"/>
      <charset val="134"/>
    </font>
    <font>
      <b/>
      <sz val="11"/>
      <name val="Arial"/>
      <charset val="134"/>
    </font>
    <font>
      <sz val="10"/>
      <name val="Arial"/>
      <charset val="134"/>
    </font>
    <font>
      <sz val="10"/>
      <name val="Arial"/>
      <charset val="0"/>
    </font>
    <font>
      <sz val="14"/>
      <name val="Arial"/>
      <charset val="0"/>
    </font>
    <font>
      <sz val="12"/>
      <name val="Arial"/>
      <charset val="0"/>
    </font>
    <font>
      <sz val="11"/>
      <name val="Arial"/>
      <charset val="0"/>
    </font>
    <font>
      <b/>
      <sz val="14"/>
      <name val="Arial"/>
      <charset val="0"/>
    </font>
    <font>
      <i/>
      <sz val="10"/>
      <color rgb="FFA6A6A6"/>
      <name val="Arial"/>
      <charset val="0"/>
    </font>
    <font>
      <i/>
      <sz val="10"/>
      <name val="Arial"/>
      <charset val="0"/>
    </font>
    <font>
      <b/>
      <i/>
      <u/>
      <sz val="10"/>
      <name val="Arial"/>
      <charset val="0"/>
    </font>
    <font>
      <sz val="10"/>
      <color rgb="FFA6A6A6"/>
      <name val="Arial"/>
      <charset val="0"/>
    </font>
    <font>
      <b/>
      <sz val="16"/>
      <name val="Arial"/>
      <charset val="134"/>
    </font>
    <font>
      <b/>
      <sz val="14"/>
      <name val="Arial"/>
      <charset val="134"/>
    </font>
    <font>
      <b/>
      <sz val="10"/>
      <name val="Arial"/>
      <charset val="134"/>
    </font>
    <font>
      <b/>
      <sz val="12"/>
      <color rgb="FFFF0000"/>
      <name val="Arial"/>
      <charset val="134"/>
    </font>
    <font>
      <sz val="16"/>
      <name val="Arial"/>
      <charset val="134"/>
    </font>
    <font>
      <sz val="20"/>
      <color theme="1"/>
      <name val="Calibri"/>
      <charset val="134"/>
      <scheme val="minor"/>
    </font>
    <font>
      <b/>
      <sz val="18"/>
      <color rgb="FF00B050"/>
      <name val="Calibri"/>
      <charset val="134"/>
      <scheme val="minor"/>
    </font>
    <font>
      <b/>
      <sz val="12"/>
      <name val="Calibri"/>
      <charset val="134"/>
      <scheme val="minor"/>
    </font>
    <font>
      <sz val="11"/>
      <color theme="1"/>
      <name val="Calibri"/>
      <charset val="134"/>
    </font>
    <font>
      <b/>
      <i/>
      <sz val="14"/>
      <color theme="1"/>
      <name val="Calibri"/>
      <charset val="134"/>
      <scheme val="minor"/>
    </font>
    <font>
      <b/>
      <sz val="16"/>
      <name val="Calibri"/>
      <charset val="134"/>
      <scheme val="minor"/>
    </font>
    <font>
      <b/>
      <sz val="14"/>
      <color rgb="FFFF0000"/>
      <name val="Calibri"/>
      <charset val="134"/>
      <scheme val="minor"/>
    </font>
    <font>
      <b/>
      <sz val="14"/>
      <name val="Calibri"/>
      <charset val="134"/>
      <scheme val="minor"/>
    </font>
    <font>
      <sz val="18"/>
      <color theme="1"/>
      <name val="Calibri"/>
      <charset val="134"/>
      <scheme val="minor"/>
    </font>
    <font>
      <b/>
      <sz val="14"/>
      <color rgb="FF00B050"/>
      <name val="Calibri"/>
      <charset val="134"/>
      <scheme val="minor"/>
    </font>
    <font>
      <sz val="14"/>
      <color theme="1" tint="0.249977111117893"/>
      <name val="Calibri"/>
      <charset val="134"/>
      <scheme val="minor"/>
    </font>
    <font>
      <sz val="11"/>
      <color theme="1" tint="0.249977111117893"/>
      <name val="Calibri"/>
      <charset val="134"/>
      <scheme val="minor"/>
    </font>
    <font>
      <b/>
      <sz val="12"/>
      <color theme="1" tint="0.249977111117893"/>
      <name val="Calibri"/>
      <charset val="134"/>
      <scheme val="minor"/>
    </font>
    <font>
      <b/>
      <sz val="14"/>
      <color rgb="FFFA7D00"/>
      <name val="Calibri"/>
      <charset val="134"/>
      <scheme val="minor"/>
    </font>
    <font>
      <b/>
      <sz val="12"/>
      <color theme="1" tint="0.349986266670736"/>
      <name val="Calibri"/>
      <charset val="134"/>
      <scheme val="minor"/>
    </font>
    <font>
      <b/>
      <sz val="14"/>
      <color theme="1" tint="0.249977111117893"/>
      <name val="Calibri"/>
      <charset val="134"/>
      <scheme val="minor"/>
    </font>
    <font>
      <sz val="12"/>
      <color theme="1" tint="0.249977111117893"/>
      <name val="Calibri"/>
      <charset val="134"/>
      <scheme val="minor"/>
    </font>
    <font>
      <b/>
      <sz val="16"/>
      <color rgb="FFFA7D00"/>
      <name val="Calibri"/>
      <charset val="134"/>
      <scheme val="minor"/>
    </font>
    <font>
      <b/>
      <sz val="11"/>
      <color rgb="FFFA7D00"/>
      <name val="Calibri"/>
      <charset val="134"/>
      <scheme val="minor"/>
    </font>
    <font>
      <sz val="12"/>
      <color theme="1"/>
      <name val="Calibri"/>
      <charset val="134"/>
    </font>
    <font>
      <sz val="11"/>
      <color rgb="FF9C6500"/>
      <name val="Calibri"/>
      <charset val="134"/>
      <scheme val="minor"/>
    </font>
    <font>
      <sz val="11"/>
      <color rgb="FF9C0006"/>
      <name val="Calibri"/>
      <charset val="134"/>
      <scheme val="minor"/>
    </font>
    <font>
      <b/>
      <sz val="12"/>
      <color rgb="FFFF0000"/>
      <name val="Calibri"/>
      <charset val="134"/>
      <scheme val="minor"/>
    </font>
    <font>
      <i/>
      <sz val="11"/>
      <color theme="1"/>
      <name val="Calibri"/>
      <charset val="134"/>
      <scheme val="minor"/>
    </font>
    <font>
      <sz val="11"/>
      <color rgb="FFFF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theme="0"/>
      <name val="Calibri"/>
      <charset val="134"/>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theme="0"/>
      <name val="Calibri"/>
      <charset val="0"/>
      <scheme val="minor"/>
    </font>
    <font>
      <sz val="11"/>
      <color theme="1"/>
      <name val="Calibri"/>
      <charset val="0"/>
      <scheme val="minor"/>
    </font>
    <font>
      <b/>
      <sz val="10"/>
      <color theme="1"/>
      <name val="Calibri"/>
      <charset val="134"/>
    </font>
    <font>
      <sz val="10"/>
      <name val="SimSun"/>
      <charset val="134"/>
    </font>
    <font>
      <sz val="10"/>
      <name val="Calibri"/>
      <charset val="134"/>
    </font>
    <font>
      <sz val="9"/>
      <color theme="1"/>
      <name val="Calibri"/>
      <charset val="134"/>
    </font>
    <font>
      <b/>
      <sz val="9"/>
      <name val="Times New Roman"/>
      <charset val="0"/>
    </font>
    <font>
      <sz val="9"/>
      <name val="Times New Roman"/>
      <charset val="0"/>
    </font>
  </fonts>
  <fills count="43">
    <fill>
      <patternFill patternType="none"/>
    </fill>
    <fill>
      <patternFill patternType="gray125"/>
    </fill>
    <fill>
      <patternFill patternType="solid">
        <fgColor theme="5" tint="0.6"/>
        <bgColor indexed="64"/>
      </patternFill>
    </fill>
    <fill>
      <patternFill patternType="solid">
        <fgColor rgb="FFFFFF00"/>
        <bgColor indexed="64"/>
      </patternFill>
    </fill>
    <fill>
      <patternFill patternType="solid">
        <fgColor rgb="FFE6E6E6"/>
        <bgColor indexed="64"/>
      </patternFill>
    </fill>
    <fill>
      <patternFill patternType="solid">
        <fgColor rgb="FF92D050"/>
        <bgColor indexed="64"/>
      </patternFill>
    </fill>
    <fill>
      <patternFill patternType="solid">
        <fgColor rgb="FFFDE9D9"/>
        <bgColor indexed="64"/>
      </patternFill>
    </fill>
    <fill>
      <patternFill patternType="solid">
        <fgColor rgb="FFD9D9D9"/>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indexed="9"/>
        <bgColor indexed="64"/>
      </patternFill>
    </fill>
    <fill>
      <patternFill patternType="solid">
        <fgColor theme="2"/>
        <bgColor indexed="64"/>
      </patternFill>
    </fill>
    <fill>
      <patternFill patternType="solid">
        <fgColor theme="0"/>
        <bgColor indexed="64"/>
      </patternFill>
    </fill>
    <fill>
      <patternFill patternType="solid">
        <fgColor theme="0"/>
        <bgColor rgb="FF000000"/>
      </patternFill>
    </fill>
    <fill>
      <patternFill patternType="solid">
        <fgColor theme="4" tint="0.799981688894314"/>
        <bgColor indexed="64"/>
      </patternFill>
    </fill>
    <fill>
      <patternFill patternType="solid">
        <fgColor rgb="FFF2F2F2"/>
        <bgColor indexed="64"/>
      </patternFill>
    </fill>
    <fill>
      <patternFill patternType="solid">
        <fgColor theme="9"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s>
  <borders count="82">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top style="medium">
        <color auto="1"/>
      </top>
      <bottom style="thin">
        <color auto="1"/>
      </bottom>
      <diagonal/>
    </border>
    <border>
      <left/>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right style="thin">
        <color rgb="FF7F7F7F"/>
      </right>
      <top style="thin">
        <color auto="1"/>
      </top>
      <bottom style="thin">
        <color auto="1"/>
      </bottom>
      <diagonal/>
    </border>
    <border>
      <left style="thin">
        <color rgb="FF7F7F7F"/>
      </left>
      <right style="thin">
        <color auto="1"/>
      </right>
      <top/>
      <bottom/>
      <diagonal/>
    </border>
    <border>
      <left/>
      <right style="thin">
        <color rgb="FF7F7F7F"/>
      </right>
      <top/>
      <bottom/>
      <diagonal/>
    </border>
    <border>
      <left/>
      <right style="thin">
        <color rgb="FF7F7F7F"/>
      </right>
      <top style="thin">
        <color rgb="FF7F7F7F"/>
      </top>
      <bottom/>
      <diagonal/>
    </border>
    <border>
      <left style="thin">
        <color rgb="FF7F7F7F"/>
      </left>
      <right style="thin">
        <color rgb="FF7F7F7F"/>
      </right>
      <top style="thin">
        <color auto="1"/>
      </top>
      <bottom style="thin">
        <color auto="1"/>
      </bottom>
      <diagonal/>
    </border>
    <border>
      <left style="thin">
        <color rgb="FF7F7F7F"/>
      </left>
      <right style="thin">
        <color auto="1"/>
      </right>
      <top style="thin">
        <color auto="1"/>
      </top>
      <bottom style="thin">
        <color auto="1"/>
      </bottom>
      <diagonal/>
    </border>
    <border>
      <left style="thin">
        <color auto="1"/>
      </left>
      <right style="thin">
        <color rgb="FF7F7F7F"/>
      </right>
      <top style="thin">
        <color auto="1"/>
      </top>
      <bottom style="thin">
        <color auto="1"/>
      </bottom>
      <diagonal/>
    </border>
    <border>
      <left/>
      <right style="thin">
        <color auto="1"/>
      </right>
      <top style="thin">
        <color auto="1"/>
      </top>
      <bottom style="medium">
        <color auto="1"/>
      </bottom>
      <diagonal/>
    </border>
    <border>
      <left/>
      <right style="thin">
        <color rgb="FF7F7F7F"/>
      </right>
      <top style="thin">
        <color auto="1"/>
      </top>
      <bottom style="medium">
        <color auto="1"/>
      </bottom>
      <diagonal/>
    </border>
    <border>
      <left style="thin">
        <color rgb="FF7F7F7F"/>
      </left>
      <right style="thin">
        <color rgb="FF7F7F7F"/>
      </right>
      <top style="thin">
        <color auto="1"/>
      </top>
      <bottom style="medium">
        <color auto="1"/>
      </bottom>
      <diagonal/>
    </border>
    <border>
      <left style="thin">
        <color rgb="FF7F7F7F"/>
      </left>
      <right style="thin">
        <color rgb="FF7F7F7F"/>
      </right>
      <top style="medium">
        <color auto="1"/>
      </top>
      <bottom style="medium">
        <color auto="1"/>
      </bottom>
      <diagonal/>
    </border>
    <border>
      <left style="thin">
        <color rgb="FF7F7F7F"/>
      </left>
      <right style="thin">
        <color auto="1"/>
      </right>
      <top style="medium">
        <color auto="1"/>
      </top>
      <bottom style="medium">
        <color auto="1"/>
      </bottom>
      <diagonal/>
    </border>
    <border>
      <left/>
      <right style="thin">
        <color rgb="FF7F7F7F"/>
      </right>
      <top style="medium">
        <color auto="1"/>
      </top>
      <bottom style="medium">
        <color auto="1"/>
      </bottom>
      <diagonal/>
    </border>
    <border>
      <left style="thin">
        <color rgb="FF7F7F7F"/>
      </left>
      <right style="thin">
        <color rgb="FF7F7F7F"/>
      </right>
      <top/>
      <bottom style="thin">
        <color rgb="FF7F7F7F"/>
      </bottom>
      <diagonal/>
    </border>
    <border>
      <left style="thin">
        <color rgb="FF7F7F7F"/>
      </left>
      <right style="thin">
        <color rgb="FF7F7F7F"/>
      </right>
      <top style="thin">
        <color rgb="FF7F7F7F"/>
      </top>
      <bottom style="thin">
        <color rgb="FF7F7F7F"/>
      </bottom>
      <diagonal/>
    </border>
    <border>
      <left style="medium">
        <color auto="1"/>
      </left>
      <right/>
      <top/>
      <bottom style="thin">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right style="thin">
        <color auto="1"/>
      </right>
      <top/>
      <bottom style="medium">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42" fontId="0" fillId="0" borderId="0" applyFont="0" applyFill="0" applyBorder="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0" fillId="17" borderId="75" applyNumberFormat="0" applyFont="0" applyAlignment="0" applyProtection="0">
      <alignment vertical="center"/>
    </xf>
    <xf numFmtId="0" fontId="6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7" fillId="0" borderId="0" applyNumberFormat="0" applyFill="0" applyBorder="0" applyAlignment="0" applyProtection="0">
      <alignment vertical="center"/>
    </xf>
    <xf numFmtId="0" fontId="68" fillId="0" borderId="76" applyNumberFormat="0" applyFill="0" applyAlignment="0" applyProtection="0">
      <alignment vertical="center"/>
    </xf>
    <xf numFmtId="0" fontId="69" fillId="0" borderId="76" applyNumberFormat="0" applyFill="0" applyAlignment="0" applyProtection="0">
      <alignment vertical="center"/>
    </xf>
    <xf numFmtId="0" fontId="70" fillId="0" borderId="77" applyNumberFormat="0" applyFill="0" applyAlignment="0" applyProtection="0">
      <alignment vertical="center"/>
    </xf>
    <xf numFmtId="0" fontId="70" fillId="0" borderId="0" applyNumberFormat="0" applyFill="0" applyBorder="0" applyAlignment="0" applyProtection="0">
      <alignment vertical="center"/>
    </xf>
    <xf numFmtId="0" fontId="71" fillId="18" borderId="61" applyNumberFormat="0" applyAlignment="0" applyProtection="0">
      <alignment vertical="center"/>
    </xf>
    <xf numFmtId="0" fontId="72" fillId="15" borderId="78" applyNumberFormat="0" applyAlignment="0" applyProtection="0">
      <alignment vertical="center"/>
    </xf>
    <xf numFmtId="0" fontId="56" fillId="15" borderId="61" applyNumberFormat="0" applyAlignment="0" applyProtection="0"/>
    <xf numFmtId="0" fontId="73" fillId="19" borderId="79" applyNumberFormat="0" applyAlignment="0" applyProtection="0"/>
    <xf numFmtId="0" fontId="74" fillId="0" borderId="80" applyNumberFormat="0" applyFill="0" applyAlignment="0" applyProtection="0">
      <alignment vertical="center"/>
    </xf>
    <xf numFmtId="0" fontId="75" fillId="0" borderId="81" applyNumberFormat="0" applyFill="0" applyAlignment="0" applyProtection="0">
      <alignment vertical="center"/>
    </xf>
    <xf numFmtId="0" fontId="76" fillId="20" borderId="0" applyNumberFormat="0" applyBorder="0" applyAlignment="0" applyProtection="0"/>
    <xf numFmtId="0" fontId="59" fillId="21" borderId="0" applyNumberFormat="0" applyBorder="0" applyAlignment="0" applyProtection="0"/>
    <xf numFmtId="0" fontId="58" fillId="22" borderId="0" applyNumberFormat="0" applyBorder="0" applyAlignment="0" applyProtection="0"/>
    <xf numFmtId="0" fontId="77" fillId="23" borderId="0" applyNumberFormat="0" applyBorder="0" applyAlignment="0" applyProtection="0">
      <alignment vertical="center"/>
    </xf>
    <xf numFmtId="0" fontId="78" fillId="14" borderId="0" applyNumberFormat="0" applyBorder="0" applyAlignment="0" applyProtection="0">
      <alignment vertical="center"/>
    </xf>
    <xf numFmtId="0" fontId="78" fillId="24" borderId="0" applyNumberFormat="0" applyBorder="0" applyAlignment="0" applyProtection="0">
      <alignment vertical="center"/>
    </xf>
    <xf numFmtId="0" fontId="77" fillId="25" borderId="0" applyNumberFormat="0" applyBorder="0" applyAlignment="0" applyProtection="0">
      <alignment vertical="center"/>
    </xf>
    <xf numFmtId="0" fontId="77" fillId="26" borderId="0" applyNumberFormat="0" applyBorder="0" applyAlignment="0" applyProtection="0">
      <alignment vertical="center"/>
    </xf>
    <xf numFmtId="0" fontId="78" fillId="27" borderId="0" applyNumberFormat="0" applyBorder="0" applyAlignment="0" applyProtection="0">
      <alignment vertical="center"/>
    </xf>
    <xf numFmtId="0" fontId="78" fillId="9" borderId="0" applyNumberFormat="0" applyBorder="0" applyAlignment="0" applyProtection="0">
      <alignment vertical="center"/>
    </xf>
    <xf numFmtId="0" fontId="77" fillId="8" borderId="0" applyNumberFormat="0" applyBorder="0" applyAlignment="0" applyProtection="0">
      <alignment vertical="center"/>
    </xf>
    <xf numFmtId="0" fontId="77" fillId="28" borderId="0" applyNumberFormat="0" applyBorder="0" applyAlignment="0" applyProtection="0">
      <alignment vertical="center"/>
    </xf>
    <xf numFmtId="0" fontId="78" fillId="29" borderId="0" applyNumberFormat="0" applyBorder="0" applyAlignment="0" applyProtection="0">
      <alignment vertical="center"/>
    </xf>
    <xf numFmtId="0" fontId="78" fillId="30" borderId="0" applyNumberFormat="0" applyBorder="0" applyAlignment="0" applyProtection="0">
      <alignment vertical="center"/>
    </xf>
    <xf numFmtId="0" fontId="77" fillId="31" borderId="0" applyNumberFormat="0" applyBorder="0" applyAlignment="0" applyProtection="0">
      <alignment vertical="center"/>
    </xf>
    <xf numFmtId="0" fontId="77" fillId="32" borderId="0" applyNumberFormat="0" applyBorder="0" applyAlignment="0" applyProtection="0">
      <alignment vertical="center"/>
    </xf>
    <xf numFmtId="0" fontId="78" fillId="33" borderId="0" applyNumberFormat="0" applyBorder="0" applyAlignment="0" applyProtection="0">
      <alignment vertical="center"/>
    </xf>
    <xf numFmtId="0" fontId="78" fillId="34" borderId="0" applyNumberFormat="0" applyBorder="0" applyAlignment="0" applyProtection="0">
      <alignment vertical="center"/>
    </xf>
    <xf numFmtId="0" fontId="77" fillId="35" borderId="0" applyNumberFormat="0" applyBorder="0" applyAlignment="0" applyProtection="0">
      <alignment vertical="center"/>
    </xf>
    <xf numFmtId="0" fontId="77" fillId="36" borderId="0" applyNumberFormat="0" applyBorder="0" applyAlignment="0" applyProtection="0">
      <alignment vertical="center"/>
    </xf>
    <xf numFmtId="0" fontId="78" fillId="37" borderId="0" applyNumberFormat="0" applyBorder="0" applyAlignment="0" applyProtection="0">
      <alignment vertical="center"/>
    </xf>
    <xf numFmtId="0" fontId="78" fillId="38" borderId="0" applyNumberFormat="0" applyBorder="0" applyAlignment="0" applyProtection="0">
      <alignment vertical="center"/>
    </xf>
    <xf numFmtId="0" fontId="77" fillId="39" borderId="0" applyNumberFormat="0" applyBorder="0" applyAlignment="0" applyProtection="0">
      <alignment vertical="center"/>
    </xf>
    <xf numFmtId="0" fontId="77" fillId="40" borderId="0" applyNumberFormat="0" applyBorder="0" applyAlignment="0" applyProtection="0">
      <alignment vertical="center"/>
    </xf>
    <xf numFmtId="0" fontId="78" fillId="41" borderId="0" applyNumberFormat="0" applyBorder="0" applyAlignment="0" applyProtection="0">
      <alignment vertical="center"/>
    </xf>
    <xf numFmtId="0" fontId="78" fillId="42" borderId="0" applyNumberFormat="0" applyBorder="0" applyAlignment="0" applyProtection="0">
      <alignment vertical="center"/>
    </xf>
    <xf numFmtId="0" fontId="77" fillId="16" borderId="0" applyNumberFormat="0" applyBorder="0" applyAlignment="0" applyProtection="0">
      <alignment vertical="center"/>
    </xf>
  </cellStyleXfs>
  <cellXfs count="614">
    <xf numFmtId="0" fontId="0" fillId="0" borderId="0" xfId="0"/>
    <xf numFmtId="0" fontId="1" fillId="0" borderId="0" xfId="0" applyFont="1" applyAlignment="1">
      <alignment horizontal="center" wrapText="1"/>
    </xf>
    <xf numFmtId="0" fontId="1" fillId="0" borderId="0" xfId="0" applyFont="1" applyAlignment="1">
      <alignment wrapText="1"/>
    </xf>
    <xf numFmtId="0" fontId="2" fillId="0" borderId="0" xfId="0" applyFont="1" applyAlignment="1">
      <alignment horizontal="center" vertical="top" wrapText="1"/>
    </xf>
    <xf numFmtId="0" fontId="2" fillId="0" borderId="0" xfId="0" applyFont="1" applyAlignment="1">
      <alignment wrapText="1"/>
    </xf>
    <xf numFmtId="0" fontId="3" fillId="0" borderId="0" xfId="0" applyFont="1"/>
    <xf numFmtId="0" fontId="4" fillId="0" borderId="0" xfId="0" applyFont="1" applyAlignment="1">
      <alignment horizontal="center"/>
    </xf>
    <xf numFmtId="0" fontId="5" fillId="0" borderId="1" xfId="0" applyFont="1" applyBorder="1" applyAlignment="1">
      <alignment horizontal="center" wrapText="1"/>
    </xf>
    <xf numFmtId="0" fontId="6" fillId="2" borderId="2" xfId="0" applyFont="1" applyFill="1" applyBorder="1" applyAlignment="1">
      <alignment horizontal="center" wrapText="1"/>
    </xf>
    <xf numFmtId="0" fontId="6" fillId="0" borderId="1" xfId="0" applyFont="1" applyBorder="1" applyAlignment="1">
      <alignment horizontal="center" wrapText="1"/>
    </xf>
    <xf numFmtId="0" fontId="6" fillId="0" borderId="1" xfId="0" applyFont="1" applyBorder="1" applyAlignment="1">
      <alignment horizontal="center" vertical="top" wrapText="1"/>
    </xf>
    <xf numFmtId="0" fontId="7" fillId="0" borderId="2" xfId="0" applyFont="1" applyBorder="1" applyAlignment="1">
      <alignment wrapText="1"/>
    </xf>
    <xf numFmtId="0" fontId="7" fillId="0" borderId="2" xfId="0" applyFont="1" applyBorder="1" applyAlignment="1">
      <alignment horizontal="center" wrapText="1"/>
    </xf>
    <xf numFmtId="0" fontId="8" fillId="0" borderId="2" xfId="0" applyFont="1" applyBorder="1" applyAlignment="1">
      <alignment horizontal="center" wrapText="1"/>
    </xf>
    <xf numFmtId="0" fontId="0" fillId="2" borderId="2" xfId="0" applyFont="1" applyFill="1" applyBorder="1" applyAlignment="1">
      <alignment horizontal="center" wrapText="1"/>
    </xf>
    <xf numFmtId="0" fontId="0" fillId="0" borderId="2" xfId="0" applyFont="1" applyBorder="1" applyAlignment="1">
      <alignment horizontal="center" wrapText="1"/>
    </xf>
    <xf numFmtId="0" fontId="0" fillId="0" borderId="2" xfId="0" applyFont="1" applyBorder="1" applyAlignment="1">
      <alignment horizontal="center" vertical="top" wrapText="1"/>
    </xf>
    <xf numFmtId="0" fontId="0" fillId="0" borderId="2" xfId="0" applyFont="1" applyBorder="1" applyAlignment="1">
      <alignment wrapText="1"/>
    </xf>
    <xf numFmtId="0" fontId="0" fillId="0" borderId="3" xfId="0" applyFont="1" applyBorder="1" applyAlignment="1">
      <alignment horizontal="center" wrapText="1"/>
    </xf>
    <xf numFmtId="0" fontId="9" fillId="3" borderId="2" xfId="0" applyFont="1" applyFill="1" applyBorder="1" applyAlignment="1">
      <alignment wrapText="1"/>
    </xf>
    <xf numFmtId="0" fontId="0" fillId="3" borderId="2" xfId="0" applyFont="1" applyFill="1" applyBorder="1" applyAlignment="1">
      <alignment wrapText="1"/>
    </xf>
    <xf numFmtId="0" fontId="0" fillId="0" borderId="2" xfId="0" applyFont="1" applyFill="1" applyBorder="1" applyAlignment="1">
      <alignment wrapText="1"/>
    </xf>
    <xf numFmtId="0" fontId="0" fillId="0" borderId="0" xfId="0" applyFont="1" applyAlignment="1">
      <alignment wrapText="1"/>
    </xf>
    <xf numFmtId="0" fontId="0" fillId="0" borderId="0" xfId="0" applyFont="1" applyAlignment="1">
      <alignment horizontal="center" wrapText="1"/>
    </xf>
    <xf numFmtId="0" fontId="0" fillId="0" borderId="0" xfId="0" applyFont="1" applyAlignment="1">
      <alignment horizontal="center" vertical="top" wrapText="1"/>
    </xf>
    <xf numFmtId="0" fontId="4" fillId="0" borderId="1" xfId="0" applyFont="1" applyBorder="1" applyAlignment="1">
      <alignment horizontal="center" wrapText="1"/>
    </xf>
    <xf numFmtId="0" fontId="8" fillId="0" borderId="1" xfId="0" applyFont="1" applyBorder="1" applyAlignment="1">
      <alignment horizontal="center" wrapText="1"/>
    </xf>
    <xf numFmtId="0" fontId="6" fillId="0" borderId="2" xfId="0" applyFont="1" applyBorder="1" applyAlignment="1">
      <alignment horizontal="center" wrapText="1"/>
    </xf>
    <xf numFmtId="0" fontId="0" fillId="0" borderId="2" xfId="0" applyFont="1" applyBorder="1" applyAlignment="1">
      <alignment vertical="top" wrapText="1"/>
    </xf>
    <xf numFmtId="0" fontId="0" fillId="0" borderId="3" xfId="0" applyFont="1" applyBorder="1" applyAlignment="1">
      <alignment wrapText="1"/>
    </xf>
    <xf numFmtId="0" fontId="0" fillId="0" borderId="1" xfId="0" applyFont="1" applyBorder="1" applyAlignment="1">
      <alignment horizontal="center" wrapText="1"/>
    </xf>
    <xf numFmtId="0" fontId="0" fillId="0" borderId="3" xfId="0" applyFont="1" applyBorder="1" applyAlignment="1">
      <alignment horizontal="center" vertical="top" wrapText="1"/>
    </xf>
    <xf numFmtId="0" fontId="10" fillId="0" borderId="4" xfId="0" applyFont="1" applyBorder="1"/>
    <xf numFmtId="0" fontId="0" fillId="0" borderId="1" xfId="0" applyBorder="1"/>
    <xf numFmtId="0" fontId="0" fillId="0" borderId="5" xfId="0" applyBorder="1"/>
    <xf numFmtId="0" fontId="0" fillId="0" borderId="6" xfId="0" applyBorder="1"/>
    <xf numFmtId="0" fontId="11" fillId="0" borderId="0" xfId="0" applyFont="1"/>
    <xf numFmtId="0" fontId="12" fillId="0" borderId="0" xfId="0" applyFont="1" applyAlignment="1">
      <alignment horizontal="center"/>
    </xf>
    <xf numFmtId="0" fontId="13" fillId="0" borderId="2" xfId="0" applyFont="1" applyBorder="1" applyAlignment="1">
      <alignment horizontal="center" wrapText="1"/>
    </xf>
    <xf numFmtId="0" fontId="14" fillId="0" borderId="0" xfId="0" applyFont="1"/>
    <xf numFmtId="0" fontId="1" fillId="0" borderId="0" xfId="0" applyFont="1" applyAlignment="1">
      <alignment horizontal="center"/>
    </xf>
    <xf numFmtId="0" fontId="15" fillId="0" borderId="0" xfId="0" applyFont="1" applyAlignment="1">
      <alignment horizontal="center" vertical="center" wrapText="1"/>
    </xf>
    <xf numFmtId="0" fontId="15" fillId="0" borderId="0" xfId="0" applyFont="1" applyAlignment="1">
      <alignment horizontal="center" wrapText="1"/>
    </xf>
    <xf numFmtId="0" fontId="16" fillId="0" borderId="0" xfId="0" applyFont="1"/>
    <xf numFmtId="0" fontId="8" fillId="0" borderId="0" xfId="0" applyFont="1" applyAlignment="1">
      <alignment horizontal="center"/>
    </xf>
    <xf numFmtId="0" fontId="5" fillId="4" borderId="1" xfId="0" applyFont="1" applyFill="1" applyBorder="1" applyAlignment="1">
      <alignment horizontal="center" wrapText="1"/>
    </xf>
    <xf numFmtId="0" fontId="13" fillId="0" borderId="2" xfId="0" applyFont="1" applyBorder="1" applyAlignment="1">
      <alignment wrapText="1"/>
    </xf>
    <xf numFmtId="58" fontId="13" fillId="0" borderId="2" xfId="0" applyNumberFormat="1" applyFont="1" applyBorder="1" applyAlignment="1">
      <alignment vertical="top" wrapText="1"/>
    </xf>
    <xf numFmtId="0" fontId="13" fillId="3" borderId="2" xfId="0" applyFont="1" applyFill="1" applyBorder="1" applyAlignment="1">
      <alignment wrapText="1"/>
    </xf>
    <xf numFmtId="58" fontId="13" fillId="0" borderId="1" xfId="0" applyNumberFormat="1" applyFont="1" applyBorder="1" applyAlignment="1">
      <alignment vertical="top" wrapText="1"/>
    </xf>
    <xf numFmtId="58" fontId="17" fillId="0" borderId="2" xfId="0" applyNumberFormat="1" applyFont="1" applyBorder="1" applyAlignment="1">
      <alignment wrapText="1"/>
    </xf>
    <xf numFmtId="0" fontId="13" fillId="0" borderId="2" xfId="0" applyFont="1" applyBorder="1" applyAlignment="1">
      <alignment vertical="top" wrapText="1"/>
    </xf>
    <xf numFmtId="0" fontId="13" fillId="5" borderId="2" xfId="0" applyFont="1" applyFill="1" applyBorder="1" applyAlignment="1">
      <alignment wrapText="1"/>
    </xf>
    <xf numFmtId="58" fontId="13" fillId="5" borderId="2" xfId="0" applyNumberFormat="1" applyFont="1" applyFill="1" applyBorder="1" applyAlignment="1">
      <alignment vertical="top" wrapText="1"/>
    </xf>
    <xf numFmtId="0" fontId="18" fillId="0" borderId="0" xfId="0" applyFont="1" applyAlignment="1">
      <alignment horizontal="right"/>
    </xf>
    <xf numFmtId="58" fontId="13" fillId="0" borderId="2" xfId="0" applyNumberFormat="1" applyFont="1" applyBorder="1" applyAlignment="1">
      <alignment wrapText="1"/>
    </xf>
    <xf numFmtId="0" fontId="13" fillId="0" borderId="2" xfId="0" applyFont="1" applyFill="1" applyBorder="1" applyAlignment="1">
      <alignment wrapText="1"/>
    </xf>
    <xf numFmtId="0" fontId="19" fillId="0" borderId="2" xfId="0" applyFont="1" applyBorder="1" applyAlignment="1">
      <alignment horizontal="right" wrapText="1"/>
    </xf>
    <xf numFmtId="58" fontId="19" fillId="0" borderId="2" xfId="0" applyNumberFormat="1" applyFont="1" applyBorder="1" applyAlignment="1">
      <alignment wrapText="1"/>
    </xf>
    <xf numFmtId="0" fontId="14" fillId="0" borderId="2" xfId="0" applyFont="1" applyBorder="1" applyAlignment="1">
      <alignment wrapText="1"/>
    </xf>
    <xf numFmtId="0" fontId="20" fillId="0" borderId="2" xfId="0" applyFont="1" applyBorder="1" applyAlignment="1">
      <alignment wrapText="1"/>
    </xf>
    <xf numFmtId="0" fontId="21" fillId="0" borderId="0" xfId="0" applyFont="1" applyFill="1" applyAlignment="1">
      <alignment horizontal="center"/>
    </xf>
    <xf numFmtId="0" fontId="21" fillId="0" borderId="7" xfId="0" applyFont="1" applyFill="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0" fontId="0" fillId="0" borderId="11" xfId="0" applyBorder="1"/>
    <xf numFmtId="0" fontId="22" fillId="0" borderId="11" xfId="0" applyFont="1" applyFill="1" applyBorder="1" applyAlignment="1"/>
    <xf numFmtId="179" fontId="22" fillId="0" borderId="11" xfId="0" applyNumberFormat="1" applyFont="1" applyFill="1" applyBorder="1" applyAlignment="1">
      <alignment horizontal="left"/>
    </xf>
    <xf numFmtId="0" fontId="0" fillId="0" borderId="11" xfId="0" applyBorder="1" applyAlignment="1">
      <alignment horizontal="center"/>
    </xf>
    <xf numFmtId="0" fontId="23" fillId="0" borderId="11" xfId="0" applyFont="1" applyFill="1" applyBorder="1" applyAlignment="1"/>
    <xf numFmtId="179" fontId="23" fillId="0" borderId="11" xfId="0" applyNumberFormat="1" applyFont="1" applyFill="1" applyBorder="1" applyAlignment="1">
      <alignment horizontal="left"/>
    </xf>
    <xf numFmtId="0" fontId="24" fillId="0" borderId="0" xfId="0" applyFont="1" applyFill="1" applyBorder="1" applyAlignment="1"/>
    <xf numFmtId="0" fontId="25" fillId="0" borderId="0" xfId="0" applyFont="1" applyFill="1" applyBorder="1" applyAlignment="1"/>
    <xf numFmtId="0" fontId="26" fillId="0" borderId="0" xfId="0" applyFont="1" applyFill="1" applyBorder="1" applyAlignment="1">
      <alignment horizontal="left"/>
    </xf>
    <xf numFmtId="0" fontId="25" fillId="0" borderId="0" xfId="0" applyFont="1" applyFill="1" applyBorder="1" applyAlignment="1">
      <alignment horizontal="center" vertical="center"/>
    </xf>
    <xf numFmtId="0" fontId="27" fillId="0" borderId="0" xfId="0" applyFont="1" applyFill="1" applyBorder="1" applyAlignment="1">
      <alignment horizontal="left"/>
    </xf>
    <xf numFmtId="0" fontId="28" fillId="0" borderId="0" xfId="0" applyFont="1" applyFill="1" applyBorder="1" applyAlignment="1">
      <alignment horizontal="center" vertical="center"/>
    </xf>
    <xf numFmtId="180" fontId="28" fillId="0" borderId="0" xfId="0" applyNumberFormat="1" applyFont="1" applyFill="1" applyBorder="1" applyAlignment="1">
      <alignment horizontal="center" vertical="center"/>
    </xf>
    <xf numFmtId="0" fontId="25" fillId="0" borderId="0" xfId="0" applyFont="1" applyFill="1" applyBorder="1" applyAlignment="1">
      <alignment horizontal="center"/>
    </xf>
    <xf numFmtId="180" fontId="28" fillId="0" borderId="0" xfId="0" applyNumberFormat="1" applyFont="1" applyFill="1" applyBorder="1" applyAlignment="1">
      <alignment horizontal="right" vertical="center"/>
    </xf>
    <xf numFmtId="0" fontId="25" fillId="0" borderId="0" xfId="0" applyFont="1" applyFill="1" applyBorder="1" applyAlignment="1">
      <alignment horizontal="left"/>
    </xf>
    <xf numFmtId="0" fontId="24" fillId="6" borderId="12" xfId="0" applyFont="1" applyFill="1" applyBorder="1" applyAlignment="1">
      <alignment horizontal="left" vertical="center" wrapText="1"/>
    </xf>
    <xf numFmtId="0" fontId="24" fillId="6" borderId="11" xfId="0" applyFont="1" applyFill="1" applyBorder="1" applyAlignment="1">
      <alignment horizontal="left" vertical="center" wrapText="1"/>
    </xf>
    <xf numFmtId="0" fontId="24" fillId="6" borderId="11" xfId="0" applyFont="1" applyFill="1" applyBorder="1" applyAlignment="1">
      <alignment horizontal="center" vertical="center" wrapText="1"/>
    </xf>
    <xf numFmtId="180" fontId="24" fillId="6" borderId="11" xfId="0" applyNumberFormat="1" applyFont="1" applyFill="1" applyBorder="1" applyAlignment="1">
      <alignment horizontal="center" vertical="center" wrapText="1"/>
    </xf>
    <xf numFmtId="0" fontId="24" fillId="6" borderId="13" xfId="0" applyFont="1" applyFill="1" applyBorder="1" applyAlignment="1">
      <alignment horizontal="center" vertical="center" wrapText="1"/>
    </xf>
    <xf numFmtId="180" fontId="24" fillId="6" borderId="14" xfId="0" applyNumberFormat="1" applyFont="1" applyFill="1" applyBorder="1" applyAlignment="1">
      <alignment horizontal="center" vertical="center" wrapText="1"/>
    </xf>
    <xf numFmtId="180" fontId="24" fillId="6" borderId="10" xfId="0" applyNumberFormat="1" applyFont="1" applyFill="1" applyBorder="1" applyAlignment="1">
      <alignment horizontal="center" vertical="center" wrapText="1"/>
    </xf>
    <xf numFmtId="0" fontId="29" fillId="7" borderId="12" xfId="0" applyFont="1" applyFill="1" applyBorder="1" applyAlignment="1"/>
    <xf numFmtId="0" fontId="30" fillId="7" borderId="15" xfId="0" applyFont="1" applyFill="1" applyBorder="1" applyAlignment="1"/>
    <xf numFmtId="0" fontId="29" fillId="7" borderId="16" xfId="0" applyFont="1" applyFill="1" applyBorder="1" applyAlignment="1"/>
    <xf numFmtId="0" fontId="31" fillId="7" borderId="12" xfId="0" applyFont="1" applyFill="1" applyBorder="1" applyAlignment="1"/>
    <xf numFmtId="0" fontId="24" fillId="7" borderId="11" xfId="0" applyFont="1" applyFill="1" applyBorder="1" applyAlignment="1">
      <alignment horizontal="center" vertical="center"/>
    </xf>
    <xf numFmtId="180" fontId="24" fillId="7" borderId="11" xfId="0" applyNumberFormat="1" applyFont="1" applyFill="1" applyBorder="1" applyAlignment="1">
      <alignment horizontal="center" vertical="center"/>
    </xf>
    <xf numFmtId="0" fontId="24" fillId="7" borderId="11" xfId="0" applyFont="1" applyFill="1" applyBorder="1" applyAlignment="1">
      <alignment horizontal="center"/>
    </xf>
    <xf numFmtId="180" fontId="24" fillId="7" borderId="11" xfId="0" applyNumberFormat="1" applyFont="1" applyFill="1" applyBorder="1" applyAlignment="1"/>
    <xf numFmtId="0" fontId="24" fillId="0" borderId="14" xfId="0" applyFont="1" applyFill="1" applyBorder="1" applyAlignment="1"/>
    <xf numFmtId="0" fontId="24" fillId="0" borderId="17" xfId="0" applyFont="1" applyFill="1" applyBorder="1" applyAlignment="1"/>
    <xf numFmtId="0" fontId="24" fillId="0" borderId="17" xfId="0" applyFont="1" applyFill="1" applyBorder="1" applyAlignment="1">
      <alignment horizontal="center" vertical="center"/>
    </xf>
    <xf numFmtId="180" fontId="24" fillId="0" borderId="17" xfId="0" applyNumberFormat="1" applyFont="1" applyFill="1" applyBorder="1" applyAlignment="1">
      <alignment horizontal="center" vertical="center"/>
    </xf>
    <xf numFmtId="0" fontId="24" fillId="0" borderId="7" xfId="0" applyFont="1" applyFill="1" applyBorder="1" applyAlignment="1">
      <alignment horizontal="center"/>
    </xf>
    <xf numFmtId="180" fontId="24" fillId="0" borderId="17" xfId="0" applyNumberFormat="1" applyFont="1" applyFill="1" applyBorder="1" applyAlignment="1">
      <alignment horizontal="center"/>
    </xf>
    <xf numFmtId="0" fontId="24" fillId="0" borderId="0" xfId="0" applyFont="1" applyFill="1" applyBorder="1" applyAlignment="1">
      <alignment horizontal="center" vertical="center"/>
    </xf>
    <xf numFmtId="180" fontId="24" fillId="0" borderId="7" xfId="0" applyNumberFormat="1" applyFont="1" applyFill="1" applyBorder="1" applyAlignment="1">
      <alignment horizontal="center"/>
    </xf>
    <xf numFmtId="0" fontId="32" fillId="7" borderId="11" xfId="0" applyFont="1" applyFill="1" applyBorder="1" applyAlignment="1"/>
    <xf numFmtId="0" fontId="29" fillId="7" borderId="11" xfId="0" applyFont="1" applyFill="1" applyBorder="1" applyAlignment="1"/>
    <xf numFmtId="0" fontId="31" fillId="7" borderId="11" xfId="0" applyFont="1" applyFill="1" applyBorder="1" applyAlignment="1"/>
    <xf numFmtId="0" fontId="32" fillId="7" borderId="11" xfId="0" applyFont="1" applyFill="1" applyBorder="1" applyAlignment="1">
      <alignment horizontal="center"/>
    </xf>
    <xf numFmtId="0" fontId="32" fillId="7" borderId="11" xfId="0" applyFont="1" applyFill="1" applyBorder="1" applyAlignment="1">
      <alignment horizontal="center" vertical="center"/>
    </xf>
    <xf numFmtId="180" fontId="32" fillId="7" borderId="13" xfId="0" applyNumberFormat="1" applyFont="1" applyFill="1" applyBorder="1" applyAlignment="1">
      <alignment horizontal="center"/>
    </xf>
    <xf numFmtId="58" fontId="32" fillId="7" borderId="11" xfId="0" applyNumberFormat="1" applyFont="1" applyFill="1" applyBorder="1" applyAlignment="1">
      <alignment horizontal="center"/>
    </xf>
    <xf numFmtId="180" fontId="32" fillId="7" borderId="11" xfId="0" applyNumberFormat="1" applyFont="1" applyFill="1" applyBorder="1" applyAlignment="1">
      <alignment horizontal="center"/>
    </xf>
    <xf numFmtId="180" fontId="32" fillId="7" borderId="11" xfId="0" applyNumberFormat="1" applyFont="1" applyFill="1" applyBorder="1" applyAlignment="1"/>
    <xf numFmtId="180" fontId="24" fillId="6" borderId="13" xfId="0" applyNumberFormat="1" applyFont="1" applyFill="1" applyBorder="1" applyAlignment="1">
      <alignment horizontal="center" vertical="center" wrapText="1"/>
    </xf>
    <xf numFmtId="0" fontId="24" fillId="0" borderId="17" xfId="0" applyFont="1" applyFill="1" applyBorder="1" applyAlignment="1">
      <alignment horizontal="center"/>
    </xf>
    <xf numFmtId="58" fontId="24" fillId="0" borderId="17" xfId="0" applyNumberFormat="1" applyFont="1" applyFill="1" applyBorder="1" applyAlignment="1">
      <alignment horizontal="center"/>
    </xf>
    <xf numFmtId="180" fontId="24" fillId="0" borderId="17" xfId="0" applyNumberFormat="1" applyFont="1" applyFill="1" applyBorder="1" applyAlignment="1"/>
    <xf numFmtId="0" fontId="24" fillId="0" borderId="17" xfId="0" applyFont="1" applyFill="1" applyBorder="1" applyAlignment="1">
      <alignment horizontal="right" vertical="center"/>
    </xf>
    <xf numFmtId="58" fontId="24" fillId="0" borderId="7" xfId="0" applyNumberFormat="1" applyFont="1" applyFill="1" applyBorder="1" applyAlignment="1">
      <alignment horizontal="center"/>
    </xf>
    <xf numFmtId="0" fontId="24" fillId="0" borderId="18" xfId="0" applyFont="1" applyFill="1" applyBorder="1" applyAlignment="1"/>
    <xf numFmtId="0" fontId="24" fillId="0" borderId="19" xfId="0" applyFont="1" applyFill="1" applyBorder="1" applyAlignment="1"/>
    <xf numFmtId="0" fontId="24" fillId="0" borderId="20" xfId="0" applyFont="1" applyFill="1" applyBorder="1" applyAlignment="1"/>
    <xf numFmtId="0" fontId="24" fillId="0" borderId="21" xfId="0" applyFont="1" applyFill="1" applyBorder="1" applyAlignment="1"/>
    <xf numFmtId="0" fontId="24" fillId="0" borderId="21" xfId="0" applyFont="1" applyFill="1" applyBorder="1" applyAlignment="1">
      <alignment horizontal="center"/>
    </xf>
    <xf numFmtId="0" fontId="24" fillId="0" borderId="21" xfId="0" applyFont="1" applyFill="1" applyBorder="1" applyAlignment="1">
      <alignment horizontal="right" vertical="center"/>
    </xf>
    <xf numFmtId="0" fontId="24" fillId="0" borderId="21" xfId="0" applyFont="1" applyFill="1" applyBorder="1" applyAlignment="1">
      <alignment horizontal="center" vertical="center"/>
    </xf>
    <xf numFmtId="180" fontId="24" fillId="0" borderId="21" xfId="0" applyNumberFormat="1" applyFont="1" applyFill="1" applyBorder="1" applyAlignment="1">
      <alignment horizontal="center"/>
    </xf>
    <xf numFmtId="58" fontId="24" fillId="0" borderId="19" xfId="0" applyNumberFormat="1" applyFont="1" applyFill="1" applyBorder="1" applyAlignment="1">
      <alignment horizontal="center"/>
    </xf>
    <xf numFmtId="180" fontId="24" fillId="0" borderId="21" xfId="0" applyNumberFormat="1" applyFont="1" applyFill="1" applyBorder="1" applyAlignment="1">
      <alignment horizontal="center" vertical="center"/>
    </xf>
    <xf numFmtId="0" fontId="32" fillId="7" borderId="15" xfId="0" applyFont="1" applyFill="1" applyBorder="1" applyAlignment="1"/>
    <xf numFmtId="0" fontId="31" fillId="7" borderId="16" xfId="0" applyFont="1" applyFill="1" applyBorder="1" applyAlignment="1"/>
    <xf numFmtId="180" fontId="24" fillId="7" borderId="11" xfId="0" applyNumberFormat="1" applyFont="1" applyFill="1" applyBorder="1" applyAlignment="1">
      <alignment horizontal="center"/>
    </xf>
    <xf numFmtId="58" fontId="24" fillId="7" borderId="13" xfId="0" applyNumberFormat="1" applyFont="1" applyFill="1" applyBorder="1" applyAlignment="1">
      <alignment horizontal="center"/>
    </xf>
    <xf numFmtId="0" fontId="24" fillId="0" borderId="22" xfId="0" applyFont="1" applyFill="1" applyBorder="1" applyAlignment="1"/>
    <xf numFmtId="0" fontId="24" fillId="7" borderId="13" xfId="0" applyFont="1" applyFill="1" applyBorder="1" applyAlignment="1">
      <alignment horizontal="center"/>
    </xf>
    <xf numFmtId="58" fontId="24" fillId="0" borderId="17" xfId="0" applyNumberFormat="1" applyFont="1" applyFill="1" applyBorder="1" applyAlignment="1"/>
    <xf numFmtId="180" fontId="24" fillId="0" borderId="7" xfId="0" applyNumberFormat="1" applyFont="1" applyFill="1" applyBorder="1" applyAlignment="1">
      <alignment horizontal="center" vertical="center"/>
    </xf>
    <xf numFmtId="180" fontId="24" fillId="0" borderId="0" xfId="0" applyNumberFormat="1" applyFont="1" applyFill="1" applyBorder="1" applyAlignment="1">
      <alignment horizontal="center" vertical="center"/>
    </xf>
    <xf numFmtId="0" fontId="33" fillId="8" borderId="11" xfId="0" applyFont="1" applyFill="1" applyBorder="1" applyAlignment="1">
      <alignment horizontal="center"/>
    </xf>
    <xf numFmtId="0" fontId="23" fillId="0" borderId="0" xfId="0" applyFont="1" applyFill="1" applyAlignment="1"/>
    <xf numFmtId="0" fontId="34" fillId="9" borderId="11" xfId="0" applyFont="1" applyFill="1" applyBorder="1" applyAlignment="1"/>
    <xf numFmtId="179" fontId="34" fillId="9" borderId="11" xfId="0" applyNumberFormat="1" applyFont="1" applyFill="1" applyBorder="1" applyAlignment="1">
      <alignment horizontal="center"/>
    </xf>
    <xf numFmtId="0" fontId="34" fillId="9" borderId="14" xfId="0" applyFont="1" applyFill="1" applyBorder="1" applyAlignment="1">
      <alignment horizontal="center"/>
    </xf>
    <xf numFmtId="179" fontId="34" fillId="9" borderId="11" xfId="0" applyNumberFormat="1" applyFont="1" applyFill="1" applyBorder="1" applyAlignment="1"/>
    <xf numFmtId="0" fontId="34" fillId="9" borderId="21" xfId="0" applyFont="1" applyFill="1" applyBorder="1" applyAlignment="1">
      <alignment horizontal="center"/>
    </xf>
    <xf numFmtId="0" fontId="21" fillId="0" borderId="11" xfId="0" applyFont="1" applyFill="1" applyBorder="1" applyAlignment="1"/>
    <xf numFmtId="0" fontId="21" fillId="0" borderId="0" xfId="0" applyFont="1" applyFill="1" applyAlignment="1"/>
    <xf numFmtId="179" fontId="35" fillId="0" borderId="0" xfId="0" applyNumberFormat="1" applyFont="1" applyFill="1" applyAlignment="1"/>
    <xf numFmtId="179" fontId="23" fillId="0" borderId="0" xfId="0" applyNumberFormat="1" applyFont="1" applyFill="1" applyAlignment="1">
      <alignment horizontal="left"/>
    </xf>
    <xf numFmtId="0" fontId="35" fillId="0" borderId="11" xfId="0" applyFont="1" applyFill="1" applyBorder="1" applyAlignment="1">
      <alignment wrapText="1"/>
    </xf>
    <xf numFmtId="179" fontId="21" fillId="0" borderId="11" xfId="0" applyNumberFormat="1" applyFont="1" applyFill="1" applyBorder="1" applyAlignment="1">
      <alignment horizontal="left"/>
    </xf>
    <xf numFmtId="0" fontId="36" fillId="0" borderId="0" xfId="0" applyFont="1" applyFill="1" applyAlignment="1"/>
    <xf numFmtId="179" fontId="35" fillId="0" borderId="11" xfId="0" applyNumberFormat="1" applyFont="1" applyFill="1" applyBorder="1" applyAlignment="1"/>
    <xf numFmtId="0" fontId="37" fillId="10" borderId="0" xfId="0" applyFont="1" applyFill="1" applyBorder="1" applyAlignment="1"/>
    <xf numFmtId="0" fontId="35" fillId="0" borderId="11" xfId="0" applyFont="1" applyFill="1" applyBorder="1" applyAlignment="1"/>
    <xf numFmtId="0" fontId="23" fillId="0" borderId="0" xfId="0" applyFont="1" applyFill="1" applyBorder="1" applyAlignment="1"/>
    <xf numFmtId="0" fontId="0" fillId="0" borderId="23" xfId="0" applyBorder="1"/>
    <xf numFmtId="0" fontId="38" fillId="0" borderId="23" xfId="0" applyFont="1" applyBorder="1" applyAlignment="1">
      <alignment horizontal="center" vertical="center"/>
    </xf>
    <xf numFmtId="0" fontId="38" fillId="0" borderId="24" xfId="0" applyFont="1" applyBorder="1" applyAlignment="1">
      <alignment horizontal="center" vertical="center"/>
    </xf>
    <xf numFmtId="0" fontId="0" fillId="0" borderId="0" xfId="0" applyBorder="1"/>
    <xf numFmtId="0" fontId="0" fillId="0" borderId="25" xfId="0" applyBorder="1"/>
    <xf numFmtId="0" fontId="0" fillId="0" borderId="26" xfId="0" applyBorder="1"/>
    <xf numFmtId="0" fontId="39" fillId="0" borderId="26" xfId="0" applyFont="1" applyBorder="1" applyAlignment="1">
      <alignment horizontal="center"/>
    </xf>
    <xf numFmtId="0" fontId="39" fillId="0" borderId="0" xfId="0" applyFont="1" applyAlignment="1">
      <alignment horizontal="center"/>
    </xf>
    <xf numFmtId="0" fontId="39" fillId="0" borderId="0" xfId="0" applyFont="1" applyBorder="1" applyAlignment="1">
      <alignment horizontal="center"/>
    </xf>
    <xf numFmtId="0" fontId="0" fillId="0" borderId="27" xfId="0" applyBorder="1"/>
    <xf numFmtId="0" fontId="12" fillId="11" borderId="26" xfId="0" applyFont="1" applyFill="1" applyBorder="1" applyAlignment="1">
      <alignment horizontal="center"/>
    </xf>
    <xf numFmtId="0" fontId="12" fillId="11" borderId="0" xfId="0" applyFont="1" applyFill="1" applyAlignment="1">
      <alignment horizontal="center"/>
    </xf>
    <xf numFmtId="0" fontId="12" fillId="11" borderId="0" xfId="0" applyFont="1" applyFill="1" applyBorder="1" applyAlignment="1">
      <alignment horizontal="center"/>
    </xf>
    <xf numFmtId="0" fontId="4" fillId="0" borderId="28" xfId="0" applyFont="1" applyBorder="1" applyAlignment="1"/>
    <xf numFmtId="0" fontId="4" fillId="0" borderId="28" xfId="0" applyFont="1" applyBorder="1" applyAlignment="1">
      <alignment horizontal="center"/>
    </xf>
    <xf numFmtId="0" fontId="4" fillId="0" borderId="29" xfId="0" applyFont="1" applyBorder="1" applyAlignment="1">
      <alignment horizontal="center"/>
    </xf>
    <xf numFmtId="0" fontId="4" fillId="0" borderId="0" xfId="0" applyFont="1" applyBorder="1" applyAlignment="1"/>
    <xf numFmtId="0" fontId="4" fillId="0" borderId="30" xfId="0" applyFont="1" applyBorder="1" applyAlignment="1"/>
    <xf numFmtId="0" fontId="40" fillId="3" borderId="22" xfId="0" applyFont="1" applyFill="1" applyBorder="1" applyAlignment="1">
      <alignment horizontal="center" vertical="center" wrapText="1"/>
    </xf>
    <xf numFmtId="0" fontId="40" fillId="3" borderId="7" xfId="0" applyFont="1" applyFill="1" applyBorder="1" applyAlignment="1">
      <alignment horizontal="center" vertical="center" wrapText="1"/>
    </xf>
    <xf numFmtId="0" fontId="40" fillId="3" borderId="17" xfId="0" applyFont="1" applyFill="1" applyBorder="1" applyAlignment="1">
      <alignment horizontal="center" vertical="center" wrapText="1"/>
    </xf>
    <xf numFmtId="0" fontId="40" fillId="3" borderId="18" xfId="0" applyFont="1" applyFill="1" applyBorder="1" applyAlignment="1">
      <alignment horizontal="center" vertical="center" wrapText="1"/>
    </xf>
    <xf numFmtId="0" fontId="40" fillId="3" borderId="0" xfId="0" applyFont="1" applyFill="1" applyAlignment="1">
      <alignment horizontal="center" vertical="center" wrapText="1"/>
    </xf>
    <xf numFmtId="0" fontId="40" fillId="3" borderId="31" xfId="0" applyFont="1" applyFill="1" applyBorder="1" applyAlignment="1">
      <alignment horizontal="center" vertical="center"/>
    </xf>
    <xf numFmtId="0" fontId="40" fillId="3" borderId="32" xfId="0" applyFont="1" applyFill="1" applyBorder="1" applyAlignment="1">
      <alignment horizontal="center" vertical="center" wrapText="1"/>
    </xf>
    <xf numFmtId="0" fontId="40" fillId="3" borderId="19" xfId="0" applyFont="1" applyFill="1" applyBorder="1" applyAlignment="1">
      <alignment horizontal="center" vertical="center" wrapText="1"/>
    </xf>
    <xf numFmtId="0" fontId="40" fillId="3" borderId="21" xfId="0" applyFont="1" applyFill="1" applyBorder="1" applyAlignment="1">
      <alignment horizontal="center" vertical="center" wrapText="1"/>
    </xf>
    <xf numFmtId="0" fontId="40" fillId="3" borderId="15" xfId="0" applyFont="1" applyFill="1" applyBorder="1" applyAlignment="1">
      <alignment horizontal="center" vertical="center" wrapText="1"/>
    </xf>
    <xf numFmtId="0" fontId="40" fillId="3" borderId="13" xfId="0" applyFont="1" applyFill="1" applyBorder="1" applyAlignment="1">
      <alignment horizontal="center" vertical="center" wrapText="1"/>
    </xf>
    <xf numFmtId="0" fontId="40" fillId="3" borderId="15" xfId="0" applyFont="1" applyFill="1" applyBorder="1" applyAlignment="1">
      <alignment horizontal="center" vertical="center"/>
    </xf>
    <xf numFmtId="0" fontId="40" fillId="3" borderId="13" xfId="0" applyFont="1" applyFill="1" applyBorder="1" applyAlignment="1">
      <alignment horizontal="center" vertical="center"/>
    </xf>
    <xf numFmtId="0" fontId="40" fillId="3" borderId="33" xfId="0" applyFont="1" applyFill="1" applyBorder="1" applyAlignment="1">
      <alignment horizontal="center" vertical="center"/>
    </xf>
    <xf numFmtId="0" fontId="0" fillId="3" borderId="34" xfId="0" applyFill="1" applyBorder="1"/>
    <xf numFmtId="0" fontId="0" fillId="3" borderId="16" xfId="0" applyFill="1" applyBorder="1"/>
    <xf numFmtId="0" fontId="0" fillId="3" borderId="13" xfId="0" applyFill="1" applyBorder="1"/>
    <xf numFmtId="181" fontId="6" fillId="3" borderId="20" xfId="0" applyNumberFormat="1" applyFont="1" applyFill="1" applyBorder="1" applyAlignment="1">
      <alignment horizontal="center" vertical="top"/>
    </xf>
    <xf numFmtId="58" fontId="6" fillId="3" borderId="21" xfId="0" applyNumberFormat="1" applyFont="1" applyFill="1" applyBorder="1" applyAlignment="1">
      <alignment horizontal="center" vertical="center"/>
    </xf>
    <xf numFmtId="0" fontId="40" fillId="3" borderId="21" xfId="0" applyFont="1" applyFill="1" applyBorder="1" applyAlignment="1">
      <alignment vertical="center"/>
    </xf>
    <xf numFmtId="0" fontId="7" fillId="12" borderId="35" xfId="0" applyFont="1" applyFill="1" applyBorder="1" applyAlignment="1">
      <alignment horizontal="center" vertical="center"/>
    </xf>
    <xf numFmtId="0" fontId="0" fillId="12" borderId="32" xfId="0" applyFont="1" applyFill="1" applyBorder="1" applyAlignment="1">
      <alignment horizontal="center"/>
    </xf>
    <xf numFmtId="0" fontId="0" fillId="12" borderId="19" xfId="0" applyFont="1" applyFill="1" applyBorder="1" applyAlignment="1">
      <alignment horizontal="center"/>
    </xf>
    <xf numFmtId="15" fontId="0" fillId="12" borderId="21" xfId="0" applyNumberFormat="1" applyFont="1" applyFill="1" applyBorder="1" applyAlignment="1">
      <alignment horizontal="center"/>
    </xf>
    <xf numFmtId="0" fontId="13" fillId="12" borderId="21" xfId="0" applyFont="1" applyFill="1" applyBorder="1" applyAlignment="1">
      <alignment vertical="center"/>
    </xf>
    <xf numFmtId="0" fontId="0" fillId="12" borderId="20" xfId="0" applyFill="1" applyBorder="1" applyAlignment="1">
      <alignment vertical="center"/>
    </xf>
    <xf numFmtId="0" fontId="0" fillId="12" borderId="36" xfId="0" applyFill="1" applyBorder="1" applyAlignment="1">
      <alignment vertical="center"/>
    </xf>
    <xf numFmtId="0" fontId="0" fillId="12" borderId="21" xfId="0" applyFont="1" applyFill="1" applyBorder="1" applyAlignment="1">
      <alignment horizontal="center"/>
    </xf>
    <xf numFmtId="181" fontId="13" fillId="12" borderId="21" xfId="0" applyNumberFormat="1" applyFont="1" applyFill="1" applyBorder="1" applyAlignment="1">
      <alignment horizontal="center" vertical="top"/>
    </xf>
    <xf numFmtId="58" fontId="13" fillId="12" borderId="21" xfId="0" applyNumberFormat="1" applyFont="1" applyFill="1" applyBorder="1" applyAlignment="1">
      <alignment horizontal="center" vertical="center"/>
    </xf>
    <xf numFmtId="0" fontId="7" fillId="12" borderId="11" xfId="0" applyFont="1" applyFill="1" applyBorder="1" applyAlignment="1">
      <alignment vertical="center"/>
    </xf>
    <xf numFmtId="0" fontId="0" fillId="12" borderId="15" xfId="0" applyFont="1" applyFill="1" applyBorder="1" applyAlignment="1">
      <alignment vertical="center"/>
    </xf>
    <xf numFmtId="0" fontId="0" fillId="12" borderId="36" xfId="0" applyFont="1" applyFill="1" applyBorder="1" applyAlignment="1">
      <alignment vertical="center"/>
    </xf>
    <xf numFmtId="0" fontId="13" fillId="12" borderId="11" xfId="0" applyFont="1" applyFill="1" applyBorder="1" applyAlignment="1">
      <alignment vertical="center"/>
    </xf>
    <xf numFmtId="181" fontId="13" fillId="12" borderId="11" xfId="0" applyNumberFormat="1" applyFont="1" applyFill="1" applyBorder="1" applyAlignment="1">
      <alignment horizontal="center" vertical="top"/>
    </xf>
    <xf numFmtId="58" fontId="13" fillId="12" borderId="11" xfId="0" applyNumberFormat="1" applyFont="1" applyFill="1" applyBorder="1" applyAlignment="1">
      <alignment horizontal="center" vertical="center"/>
    </xf>
    <xf numFmtId="0" fontId="13" fillId="12" borderId="15" xfId="0" applyFont="1" applyFill="1" applyBorder="1" applyAlignment="1">
      <alignment vertical="center"/>
    </xf>
    <xf numFmtId="0" fontId="13" fillId="12" borderId="36" xfId="0" applyFont="1" applyFill="1" applyBorder="1" applyAlignment="1">
      <alignment vertical="center"/>
    </xf>
    <xf numFmtId="0" fontId="0" fillId="13" borderId="21" xfId="0" applyFont="1" applyFill="1" applyBorder="1" applyAlignment="1">
      <alignment horizontal="center"/>
    </xf>
    <xf numFmtId="0" fontId="13" fillId="13" borderId="21" xfId="0" applyFont="1" applyFill="1" applyBorder="1" applyAlignment="1">
      <alignment vertical="center"/>
    </xf>
    <xf numFmtId="0" fontId="13" fillId="13" borderId="11" xfId="0" applyFont="1" applyFill="1" applyBorder="1" applyAlignment="1">
      <alignment vertical="center"/>
    </xf>
    <xf numFmtId="181" fontId="41" fillId="13" borderId="11" xfId="0" applyNumberFormat="1" applyFont="1" applyFill="1" applyBorder="1" applyAlignment="1">
      <alignment horizontal="center" vertical="top"/>
    </xf>
    <xf numFmtId="58" fontId="41" fillId="13" borderId="11" xfId="0" applyNumberFormat="1" applyFont="1" applyFill="1" applyBorder="1" applyAlignment="1">
      <alignment horizontal="center" vertical="center"/>
    </xf>
    <xf numFmtId="0" fontId="7" fillId="12" borderId="11" xfId="0" applyFont="1" applyFill="1" applyBorder="1" applyAlignment="1">
      <alignment horizontal="center" vertical="center"/>
    </xf>
    <xf numFmtId="0" fontId="13" fillId="12" borderId="15" xfId="0" applyFont="1" applyFill="1" applyBorder="1" applyAlignment="1">
      <alignment horizontal="center" vertical="center"/>
    </xf>
    <xf numFmtId="0" fontId="13" fillId="12" borderId="36" xfId="0" applyFont="1" applyFill="1" applyBorder="1" applyAlignment="1">
      <alignment horizontal="center" vertical="center"/>
    </xf>
    <xf numFmtId="181" fontId="0" fillId="12" borderId="14" xfId="0" applyNumberFormat="1" applyFill="1" applyBorder="1" applyAlignment="1">
      <alignment horizontal="center" vertical="top"/>
    </xf>
    <xf numFmtId="0" fontId="0" fillId="12" borderId="11" xfId="0" applyFill="1" applyBorder="1" applyAlignment="1">
      <alignment horizontal="center" vertical="center"/>
    </xf>
    <xf numFmtId="0" fontId="0" fillId="12" borderId="15" xfId="0" applyFill="1" applyBorder="1" applyAlignment="1">
      <alignment horizontal="center" vertical="center"/>
    </xf>
    <xf numFmtId="0" fontId="0" fillId="12" borderId="36" xfId="0" applyFill="1" applyBorder="1" applyAlignment="1">
      <alignment horizontal="center" vertical="center"/>
    </xf>
    <xf numFmtId="0" fontId="0" fillId="12" borderId="37" xfId="0" applyFont="1" applyFill="1" applyBorder="1" applyAlignment="1">
      <alignment horizontal="center"/>
    </xf>
    <xf numFmtId="0" fontId="0" fillId="12" borderId="11" xfId="0" applyFill="1" applyBorder="1"/>
    <xf numFmtId="0" fontId="0" fillId="12" borderId="15" xfId="0" applyFill="1" applyBorder="1"/>
    <xf numFmtId="0" fontId="0" fillId="12" borderId="36" xfId="0" applyFill="1" applyBorder="1"/>
    <xf numFmtId="58" fontId="13" fillId="12" borderId="11" xfId="0" applyNumberFormat="1" applyFont="1" applyFill="1" applyBorder="1" applyAlignment="1">
      <alignment horizontal="center"/>
    </xf>
    <xf numFmtId="0" fontId="0" fillId="12" borderId="12" xfId="0" applyFont="1" applyFill="1" applyBorder="1" applyAlignment="1">
      <alignment horizontal="center"/>
    </xf>
    <xf numFmtId="0" fontId="0" fillId="12" borderId="22" xfId="0" applyFill="1" applyBorder="1"/>
    <xf numFmtId="0" fontId="0" fillId="12" borderId="7" xfId="0" applyFill="1" applyBorder="1"/>
    <xf numFmtId="0" fontId="10" fillId="12" borderId="15" xfId="0" applyFont="1" applyFill="1" applyBorder="1"/>
    <xf numFmtId="0" fontId="10" fillId="12" borderId="36" xfId="0" applyFont="1" applyFill="1" applyBorder="1"/>
    <xf numFmtId="0" fontId="13" fillId="0" borderId="12" xfId="0" applyFont="1" applyFill="1" applyBorder="1" applyAlignment="1">
      <alignment vertical="center" wrapText="1"/>
    </xf>
    <xf numFmtId="0" fontId="13" fillId="0" borderId="13" xfId="0" applyFont="1" applyFill="1" applyBorder="1" applyAlignment="1">
      <alignment vertical="center" wrapText="1"/>
    </xf>
    <xf numFmtId="0" fontId="13" fillId="0" borderId="11" xfId="0" applyFont="1" applyFill="1" applyBorder="1" applyAlignment="1">
      <alignment horizontal="center"/>
    </xf>
    <xf numFmtId="182" fontId="13" fillId="0" borderId="11" xfId="0" applyNumberFormat="1" applyFont="1" applyFill="1" applyBorder="1" applyAlignment="1">
      <alignment vertical="center"/>
    </xf>
    <xf numFmtId="0" fontId="13" fillId="0" borderId="11" xfId="0" applyFont="1" applyFill="1" applyBorder="1" applyAlignment="1">
      <alignment vertical="center"/>
    </xf>
    <xf numFmtId="0" fontId="13" fillId="0" borderId="11" xfId="0" applyFont="1" applyFill="1" applyBorder="1" applyAlignment="1">
      <alignment vertical="center" wrapText="1"/>
    </xf>
    <xf numFmtId="0" fontId="6" fillId="12" borderId="15" xfId="0" applyFont="1" applyFill="1" applyBorder="1" applyAlignment="1">
      <alignment horizontal="center" vertical="center"/>
    </xf>
    <xf numFmtId="0" fontId="6" fillId="12" borderId="36" xfId="0" applyFont="1" applyFill="1" applyBorder="1" applyAlignment="1">
      <alignment horizontal="center" vertical="center"/>
    </xf>
    <xf numFmtId="0" fontId="13" fillId="0" borderId="32" xfId="0" applyFont="1" applyFill="1" applyBorder="1" applyAlignment="1">
      <alignment vertical="center" wrapText="1"/>
    </xf>
    <xf numFmtId="0" fontId="13" fillId="0" borderId="19" xfId="0" applyFont="1" applyFill="1" applyBorder="1" applyAlignment="1">
      <alignment vertical="center" wrapText="1"/>
    </xf>
    <xf numFmtId="0" fontId="13" fillId="0" borderId="21" xfId="0" applyFont="1" applyFill="1" applyBorder="1"/>
    <xf numFmtId="182" fontId="13" fillId="0" borderId="21" xfId="0" applyNumberFormat="1" applyFont="1" applyFill="1" applyBorder="1" applyAlignment="1">
      <alignment vertical="center"/>
    </xf>
    <xf numFmtId="0" fontId="13" fillId="0" borderId="21" xfId="0" applyFont="1" applyFill="1" applyBorder="1" applyAlignment="1">
      <alignment vertical="center"/>
    </xf>
    <xf numFmtId="0" fontId="13" fillId="0" borderId="21" xfId="0" applyFont="1" applyFill="1" applyBorder="1" applyAlignment="1">
      <alignment vertical="center" wrapText="1"/>
    </xf>
    <xf numFmtId="0" fontId="10" fillId="12" borderId="15" xfId="0" applyFont="1" applyFill="1" applyBorder="1" applyAlignment="1">
      <alignment horizontal="center" vertical="center"/>
    </xf>
    <xf numFmtId="0" fontId="10" fillId="12" borderId="36" xfId="0" applyFont="1" applyFill="1" applyBorder="1" applyAlignment="1">
      <alignment horizontal="center" vertical="center"/>
    </xf>
    <xf numFmtId="0" fontId="0" fillId="12" borderId="11" xfId="0" applyFont="1" applyFill="1" applyBorder="1" applyAlignment="1">
      <alignment horizontal="center" wrapText="1"/>
    </xf>
    <xf numFmtId="0" fontId="0" fillId="12" borderId="11" xfId="0" applyFill="1" applyBorder="1" applyAlignment="1">
      <alignment horizontal="center"/>
    </xf>
    <xf numFmtId="0" fontId="0" fillId="0" borderId="11" xfId="0" applyBorder="1" applyAlignment="1">
      <alignment horizontal="center"/>
    </xf>
    <xf numFmtId="182" fontId="13" fillId="12" borderId="11" xfId="0" applyNumberFormat="1" applyFont="1" applyFill="1" applyBorder="1" applyAlignment="1">
      <alignment horizontal="center"/>
    </xf>
    <xf numFmtId="58" fontId="13" fillId="12" borderId="11" xfId="0" applyNumberFormat="1" applyFont="1" applyFill="1" applyBorder="1" applyAlignment="1">
      <alignment vertical="center"/>
    </xf>
    <xf numFmtId="4" fontId="13" fillId="12" borderId="11" xfId="0" applyNumberFormat="1" applyFont="1" applyFill="1" applyBorder="1" applyAlignment="1">
      <alignment vertical="center" wrapText="1"/>
    </xf>
    <xf numFmtId="182" fontId="0" fillId="12" borderId="11" xfId="2" applyNumberFormat="1" applyFont="1" applyFill="1" applyBorder="1" applyAlignment="1">
      <alignment horizontal="center" vertical="center" wrapText="1"/>
    </xf>
    <xf numFmtId="0" fontId="5" fillId="12" borderId="11" xfId="0" applyFont="1" applyFill="1" applyBorder="1" applyAlignment="1">
      <alignment horizontal="center" vertical="center"/>
    </xf>
    <xf numFmtId="182" fontId="0" fillId="0" borderId="11" xfId="0" applyNumberFormat="1" applyBorder="1" applyAlignment="1">
      <alignment horizontal="center"/>
    </xf>
    <xf numFmtId="58" fontId="0" fillId="0" borderId="11" xfId="0" applyNumberFormat="1" applyBorder="1"/>
    <xf numFmtId="4" fontId="0" fillId="0" borderId="11" xfId="0" applyNumberFormat="1" applyBorder="1"/>
    <xf numFmtId="0" fontId="0" fillId="0" borderId="29" xfId="0" applyBorder="1" applyAlignment="1">
      <alignment horizontal="center"/>
    </xf>
    <xf numFmtId="0" fontId="0" fillId="0" borderId="0" xfId="0" applyBorder="1" applyAlignment="1">
      <alignment horizontal="center"/>
    </xf>
    <xf numFmtId="0" fontId="42" fillId="14" borderId="14" xfId="0" applyFont="1" applyFill="1" applyBorder="1" applyAlignment="1">
      <alignment horizontal="right"/>
    </xf>
    <xf numFmtId="4" fontId="42" fillId="14" borderId="14" xfId="0" applyNumberFormat="1" applyFont="1" applyFill="1" applyBorder="1"/>
    <xf numFmtId="182" fontId="13" fillId="14" borderId="8" xfId="2" applyNumberFormat="1" applyFont="1" applyFill="1" applyBorder="1"/>
    <xf numFmtId="0" fontId="5" fillId="14" borderId="8" xfId="0" applyFont="1" applyFill="1" applyBorder="1" applyAlignment="1">
      <alignment horizontal="right"/>
    </xf>
    <xf numFmtId="182" fontId="42" fillId="5" borderId="14" xfId="2" applyNumberFormat="1" applyFont="1" applyFill="1" applyBorder="1"/>
    <xf numFmtId="0" fontId="0" fillId="0" borderId="38" xfId="0" applyBorder="1"/>
    <xf numFmtId="0" fontId="0" fillId="0" borderId="15" xfId="0" applyBorder="1"/>
    <xf numFmtId="0" fontId="0" fillId="0" borderId="16" xfId="0" applyBorder="1"/>
    <xf numFmtId="0" fontId="0" fillId="12" borderId="39" xfId="0" applyFill="1" applyBorder="1"/>
    <xf numFmtId="0" fontId="5" fillId="0" borderId="16" xfId="0" applyFont="1" applyBorder="1"/>
    <xf numFmtId="4" fontId="43" fillId="5" borderId="11" xfId="0" applyNumberFormat="1" applyFont="1" applyFill="1" applyBorder="1"/>
    <xf numFmtId="0" fontId="5" fillId="0" borderId="0" xfId="0" applyFont="1"/>
    <xf numFmtId="0" fontId="0" fillId="12" borderId="12" xfId="0" applyFill="1" applyBorder="1"/>
    <xf numFmtId="182" fontId="0" fillId="12" borderId="11" xfId="0" applyNumberFormat="1" applyFont="1" applyFill="1" applyBorder="1"/>
    <xf numFmtId="58" fontId="0" fillId="12" borderId="15" xfId="0" applyNumberFormat="1" applyFont="1" applyFill="1" applyBorder="1"/>
    <xf numFmtId="4" fontId="0" fillId="12" borderId="11" xfId="0" applyNumberFormat="1" applyFont="1" applyFill="1" applyBorder="1"/>
    <xf numFmtId="182" fontId="0" fillId="12" borderId="11" xfId="0" applyNumberFormat="1" applyFont="1" applyFill="1" applyBorder="1" applyAlignment="1">
      <alignment horizontal="left"/>
    </xf>
    <xf numFmtId="0" fontId="5" fillId="12" borderId="14" xfId="0" applyFont="1" applyFill="1" applyBorder="1" applyAlignment="1">
      <alignment horizontal="left" vertical="center"/>
    </xf>
    <xf numFmtId="182" fontId="0" fillId="14" borderId="15" xfId="0" applyNumberFormat="1" applyFont="1" applyFill="1" applyBorder="1" applyAlignment="1">
      <alignment horizontal="center"/>
    </xf>
    <xf numFmtId="0" fontId="44" fillId="14" borderId="36" xfId="0" applyFont="1" applyFill="1" applyBorder="1" applyAlignment="1">
      <alignment horizontal="center"/>
    </xf>
    <xf numFmtId="0" fontId="38" fillId="0" borderId="25" xfId="0" applyFont="1" applyBorder="1" applyAlignment="1">
      <alignment horizontal="center" vertical="center"/>
    </xf>
    <xf numFmtId="0" fontId="39" fillId="0" borderId="27" xfId="0" applyFont="1" applyBorder="1" applyAlignment="1">
      <alignment horizontal="center"/>
    </xf>
    <xf numFmtId="0" fontId="12" fillId="11" borderId="27" xfId="0" applyFont="1" applyFill="1" applyBorder="1" applyAlignment="1">
      <alignment horizontal="center"/>
    </xf>
    <xf numFmtId="0" fontId="4" fillId="0" borderId="30" xfId="0" applyFont="1" applyBorder="1" applyAlignment="1">
      <alignment horizontal="center"/>
    </xf>
    <xf numFmtId="0" fontId="40" fillId="3" borderId="20" xfId="0" applyFont="1" applyFill="1" applyBorder="1" applyAlignment="1">
      <alignment horizontal="center" vertical="center" wrapText="1"/>
    </xf>
    <xf numFmtId="0" fontId="40" fillId="3" borderId="39" xfId="0" applyFont="1" applyFill="1" applyBorder="1" applyAlignment="1">
      <alignment horizontal="center" vertical="center" wrapText="1"/>
    </xf>
    <xf numFmtId="0" fontId="40" fillId="3" borderId="18" xfId="0" applyFont="1" applyFill="1" applyBorder="1" applyAlignment="1">
      <alignment horizontal="center" vertical="center" wrapText="1"/>
    </xf>
    <xf numFmtId="0" fontId="40" fillId="3" borderId="14" xfId="0" applyFont="1" applyFill="1" applyBorder="1" applyAlignment="1">
      <alignment horizontal="center" vertical="center" wrapText="1"/>
    </xf>
    <xf numFmtId="0" fontId="40" fillId="3" borderId="0" xfId="0" applyFont="1" applyFill="1" applyBorder="1" applyAlignment="1">
      <alignment horizontal="center" vertical="center"/>
    </xf>
    <xf numFmtId="0" fontId="40" fillId="3" borderId="15" xfId="0" applyFont="1" applyFill="1" applyBorder="1" applyAlignment="1">
      <alignment horizontal="center" vertical="center" wrapText="1"/>
    </xf>
    <xf numFmtId="0" fontId="40" fillId="3" borderId="16" xfId="0" applyFont="1" applyFill="1" applyBorder="1" applyAlignment="1">
      <alignment horizontal="center" vertical="center" wrapText="1"/>
    </xf>
    <xf numFmtId="0" fontId="40" fillId="3" borderId="13" xfId="0" applyFont="1" applyFill="1" applyBorder="1" applyAlignment="1">
      <alignment horizontal="center" vertical="center" wrapText="1"/>
    </xf>
    <xf numFmtId="182" fontId="0" fillId="14" borderId="11" xfId="0" applyNumberFormat="1" applyFont="1" applyFill="1" applyBorder="1" applyAlignment="1">
      <alignment horizontal="center"/>
    </xf>
    <xf numFmtId="58" fontId="0" fillId="12" borderId="15" xfId="0" applyNumberFormat="1" applyFill="1" applyBorder="1"/>
    <xf numFmtId="0" fontId="0" fillId="0" borderId="11" xfId="0" applyBorder="1"/>
    <xf numFmtId="0" fontId="0" fillId="0" borderId="28" xfId="0" applyBorder="1"/>
    <xf numFmtId="0" fontId="0" fillId="0" borderId="29" xfId="0" applyBorder="1"/>
    <xf numFmtId="182" fontId="45" fillId="0" borderId="29" xfId="0" applyNumberFormat="1" applyFont="1" applyBorder="1"/>
    <xf numFmtId="0" fontId="42" fillId="14" borderId="40" xfId="0" applyFont="1" applyFill="1" applyBorder="1" applyAlignment="1">
      <alignment horizontal="right"/>
    </xf>
    <xf numFmtId="4" fontId="5" fillId="14" borderId="41" xfId="0" applyNumberFormat="1" applyFont="1" applyFill="1" applyBorder="1"/>
    <xf numFmtId="182" fontId="42" fillId="14" borderId="42" xfId="0" applyNumberFormat="1" applyFont="1" applyFill="1" applyBorder="1"/>
    <xf numFmtId="0" fontId="8" fillId="14" borderId="43" xfId="0" applyFont="1" applyFill="1" applyBorder="1" applyAlignment="1">
      <alignment horizontal="right"/>
    </xf>
    <xf numFmtId="182" fontId="45" fillId="5" borderId="11" xfId="0" applyNumberFormat="1" applyFont="1" applyFill="1" applyBorder="1" applyAlignment="1">
      <alignment horizontal="center"/>
    </xf>
    <xf numFmtId="0" fontId="46" fillId="0" borderId="0" xfId="0" applyFont="1" applyAlignment="1">
      <alignment horizontal="center"/>
    </xf>
    <xf numFmtId="0" fontId="13" fillId="3" borderId="44" xfId="0" applyFont="1" applyFill="1" applyBorder="1" applyAlignment="1">
      <alignment horizontal="center" vertical="center" wrapText="1"/>
    </xf>
    <xf numFmtId="0" fontId="13" fillId="3" borderId="45" xfId="0" applyFont="1" applyFill="1" applyBorder="1" applyAlignment="1">
      <alignment horizontal="center" vertical="center" wrapText="1"/>
    </xf>
    <xf numFmtId="182" fontId="13" fillId="3" borderId="45" xfId="0" applyNumberFormat="1" applyFont="1" applyFill="1" applyBorder="1" applyAlignment="1">
      <alignment horizontal="center" vertical="center"/>
    </xf>
    <xf numFmtId="0" fontId="13" fillId="3" borderId="45" xfId="0" applyFont="1" applyFill="1" applyBorder="1" applyAlignment="1">
      <alignment horizontal="center" vertical="center"/>
    </xf>
    <xf numFmtId="0" fontId="7" fillId="3" borderId="46" xfId="0" applyFont="1" applyFill="1" applyBorder="1" applyAlignment="1">
      <alignment horizontal="center" vertical="center"/>
    </xf>
    <xf numFmtId="0" fontId="13" fillId="3" borderId="22" xfId="0" applyFont="1" applyFill="1" applyBorder="1" applyAlignment="1">
      <alignment horizontal="center" vertical="center" wrapText="1"/>
    </xf>
    <xf numFmtId="0" fontId="13" fillId="3" borderId="21" xfId="0" applyFont="1" applyFill="1" applyBorder="1" applyAlignment="1">
      <alignment horizontal="center" vertical="center" wrapText="1"/>
    </xf>
    <xf numFmtId="182" fontId="13" fillId="3" borderId="17" xfId="0" applyNumberFormat="1" applyFont="1" applyFill="1" applyBorder="1" applyAlignment="1">
      <alignment horizontal="center" vertical="center"/>
    </xf>
    <xf numFmtId="0" fontId="13" fillId="3" borderId="17" xfId="0" applyFont="1" applyFill="1" applyBorder="1" applyAlignment="1">
      <alignment horizontal="center" vertical="center"/>
    </xf>
    <xf numFmtId="0" fontId="13" fillId="3" borderId="17" xfId="0" applyFont="1" applyFill="1" applyBorder="1" applyAlignment="1">
      <alignment horizontal="center" vertical="center" wrapText="1"/>
    </xf>
    <xf numFmtId="0" fontId="7" fillId="3" borderId="31" xfId="0" applyFont="1" applyFill="1" applyBorder="1" applyAlignment="1">
      <alignment horizontal="center" vertical="center"/>
    </xf>
    <xf numFmtId="0" fontId="0" fillId="12" borderId="11" xfId="0" applyFont="1" applyFill="1" applyBorder="1" applyAlignment="1">
      <alignment wrapText="1"/>
    </xf>
    <xf numFmtId="182" fontId="13" fillId="12" borderId="11" xfId="0" applyNumberFormat="1" applyFont="1" applyFill="1" applyBorder="1" applyAlignment="1">
      <alignment horizontal="center" vertical="center"/>
    </xf>
    <xf numFmtId="182" fontId="13" fillId="12" borderId="11" xfId="0" applyNumberFormat="1" applyFont="1" applyFill="1" applyBorder="1" applyAlignment="1">
      <alignment vertical="center" wrapText="1"/>
    </xf>
    <xf numFmtId="0" fontId="5" fillId="12" borderId="11" xfId="0" applyFont="1" applyFill="1" applyBorder="1" applyAlignment="1">
      <alignment vertical="center"/>
    </xf>
    <xf numFmtId="0" fontId="47" fillId="14" borderId="11" xfId="0" applyFont="1" applyFill="1" applyBorder="1" applyAlignment="1">
      <alignment horizontal="center" vertical="center"/>
    </xf>
    <xf numFmtId="0" fontId="44" fillId="14" borderId="11" xfId="0" applyFont="1" applyFill="1" applyBorder="1" applyAlignment="1">
      <alignment horizontal="center" vertical="center"/>
    </xf>
    <xf numFmtId="182" fontId="7" fillId="12" borderId="11" xfId="0" applyNumberFormat="1" applyFont="1" applyFill="1" applyBorder="1" applyAlignment="1">
      <alignment horizontal="center"/>
    </xf>
    <xf numFmtId="182" fontId="0" fillId="0" borderId="11" xfId="0" applyNumberFormat="1" applyBorder="1"/>
    <xf numFmtId="0" fontId="0" fillId="12" borderId="11" xfId="0" applyFill="1" applyBorder="1" applyAlignment="1">
      <alignment wrapText="1"/>
    </xf>
    <xf numFmtId="0" fontId="48" fillId="15" borderId="11" xfId="18" applyFont="1" applyBorder="1"/>
    <xf numFmtId="0" fontId="48" fillId="12" borderId="13" xfId="18" applyFont="1" applyFill="1" applyBorder="1"/>
    <xf numFmtId="0" fontId="48" fillId="15" borderId="13" xfId="18" applyFont="1" applyBorder="1"/>
    <xf numFmtId="0" fontId="48" fillId="15" borderId="16" xfId="18" applyFont="1" applyBorder="1"/>
    <xf numFmtId="58" fontId="49" fillId="0" borderId="13" xfId="0" applyNumberFormat="1" applyFont="1" applyBorder="1"/>
    <xf numFmtId="0" fontId="50" fillId="15" borderId="13" xfId="18" applyFont="1" applyBorder="1"/>
    <xf numFmtId="0" fontId="51" fillId="15" borderId="13" xfId="18" applyFont="1" applyBorder="1"/>
    <xf numFmtId="0" fontId="52" fillId="15" borderId="47" xfId="18" applyFont="1" applyBorder="1"/>
    <xf numFmtId="0" fontId="48" fillId="15" borderId="48" xfId="18" applyFont="1" applyBorder="1"/>
    <xf numFmtId="0" fontId="48" fillId="15" borderId="7" xfId="18" applyFont="1" applyBorder="1"/>
    <xf numFmtId="0" fontId="48" fillId="15" borderId="0" xfId="18" applyFont="1" applyBorder="1"/>
    <xf numFmtId="0" fontId="48" fillId="15" borderId="17" xfId="18" applyFont="1" applyBorder="1"/>
    <xf numFmtId="0" fontId="53" fillId="15" borderId="7" xfId="18" applyFont="1" applyBorder="1"/>
    <xf numFmtId="0" fontId="50" fillId="15" borderId="7" xfId="18" applyFont="1" applyBorder="1"/>
    <xf numFmtId="0" fontId="51" fillId="15" borderId="7" xfId="18" applyFont="1" applyBorder="1"/>
    <xf numFmtId="0" fontId="52" fillId="15" borderId="49" xfId="18" applyFont="1" applyBorder="1"/>
    <xf numFmtId="0" fontId="47" fillId="14" borderId="21" xfId="0" applyFont="1" applyFill="1" applyBorder="1" applyAlignment="1">
      <alignment horizontal="center" vertical="center"/>
    </xf>
    <xf numFmtId="58" fontId="49" fillId="15" borderId="13" xfId="18" applyNumberFormat="1" applyFont="1" applyBorder="1"/>
    <xf numFmtId="0" fontId="52" fillId="15" borderId="13" xfId="18" applyFont="1" applyBorder="1"/>
    <xf numFmtId="2" fontId="48" fillId="15" borderId="17" xfId="18" applyNumberFormat="1" applyFont="1" applyBorder="1"/>
    <xf numFmtId="58" fontId="49" fillId="15" borderId="7" xfId="18" applyNumberFormat="1" applyFont="1" applyBorder="1"/>
    <xf numFmtId="58" fontId="48" fillId="15" borderId="7" xfId="18" applyNumberFormat="1" applyFont="1" applyBorder="1"/>
    <xf numFmtId="2" fontId="50" fillId="15" borderId="7" xfId="18" applyNumberFormat="1" applyFont="1" applyBorder="1"/>
    <xf numFmtId="0" fontId="52" fillId="15" borderId="10" xfId="18" applyFont="1" applyBorder="1"/>
    <xf numFmtId="0" fontId="51" fillId="15" borderId="50" xfId="18" applyFont="1" applyBorder="1"/>
    <xf numFmtId="2" fontId="48" fillId="15" borderId="11" xfId="18" applyNumberFormat="1" applyFont="1" applyBorder="1"/>
    <xf numFmtId="58" fontId="48" fillId="15" borderId="13" xfId="18" applyNumberFormat="1" applyFont="1" applyBorder="1"/>
    <xf numFmtId="2" fontId="50" fillId="15" borderId="13" xfId="18" applyNumberFormat="1" applyFont="1" applyBorder="1"/>
    <xf numFmtId="0" fontId="48" fillId="15" borderId="51" xfId="18" applyFont="1" applyBorder="1"/>
    <xf numFmtId="0" fontId="48" fillId="15" borderId="52" xfId="18" applyFont="1" applyBorder="1"/>
    <xf numFmtId="58" fontId="49" fillId="15" borderId="53" xfId="18" applyNumberFormat="1" applyFont="1" applyBorder="1"/>
    <xf numFmtId="0" fontId="53" fillId="15" borderId="48" xfId="18" applyFont="1" applyBorder="1"/>
    <xf numFmtId="0" fontId="54" fillId="15" borderId="52" xfId="18" applyFont="1" applyBorder="1"/>
    <xf numFmtId="0" fontId="51" fillId="15" borderId="49" xfId="18" applyFont="1" applyBorder="1"/>
    <xf numFmtId="0" fontId="7" fillId="0" borderId="13" xfId="0" applyFont="1" applyBorder="1"/>
    <xf numFmtId="0" fontId="7" fillId="0" borderId="11" xfId="0" applyFont="1" applyBorder="1"/>
    <xf numFmtId="0" fontId="7" fillId="0" borderId="19" xfId="0" applyFont="1" applyBorder="1"/>
    <xf numFmtId="182" fontId="7" fillId="0" borderId="13" xfId="0" applyNumberFormat="1" applyFont="1" applyBorder="1"/>
    <xf numFmtId="0" fontId="55" fillId="15" borderId="13" xfId="18" applyFont="1" applyBorder="1"/>
    <xf numFmtId="0" fontId="13" fillId="0" borderId="19" xfId="0" applyFont="1" applyBorder="1"/>
    <xf numFmtId="0" fontId="55" fillId="15" borderId="13" xfId="18" applyFont="1" applyBorder="1" applyAlignment="1">
      <alignment horizontal="center" wrapText="1"/>
    </xf>
    <xf numFmtId="0" fontId="51" fillId="15" borderId="47" xfId="18" applyFont="1" applyBorder="1"/>
    <xf numFmtId="0" fontId="13" fillId="0" borderId="13" xfId="0" applyFont="1" applyBorder="1"/>
    <xf numFmtId="0" fontId="51" fillId="15" borderId="51" xfId="18" applyFont="1" applyBorder="1"/>
    <xf numFmtId="0" fontId="7" fillId="0" borderId="54" xfId="0" applyFont="1" applyBorder="1"/>
    <xf numFmtId="0" fontId="7" fillId="0" borderId="41" xfId="0" applyFont="1" applyBorder="1"/>
    <xf numFmtId="0" fontId="7" fillId="0" borderId="54" xfId="0" applyFont="1" applyBorder="1" applyAlignment="1">
      <alignment vertical="center"/>
    </xf>
    <xf numFmtId="0" fontId="51" fillId="15" borderId="55" xfId="18" applyFont="1" applyBorder="1"/>
    <xf numFmtId="0" fontId="13" fillId="0" borderId="54" xfId="0" applyFont="1" applyBorder="1"/>
    <xf numFmtId="0" fontId="51" fillId="15" borderId="56" xfId="18" applyFont="1" applyBorder="1"/>
    <xf numFmtId="0" fontId="51" fillId="15" borderId="57" xfId="18" applyFont="1" applyBorder="1"/>
    <xf numFmtId="0" fontId="51" fillId="15" borderId="58" xfId="18" applyFont="1" applyBorder="1"/>
    <xf numFmtId="0" fontId="51" fillId="15" borderId="59" xfId="18" applyFont="1" applyBorder="1"/>
    <xf numFmtId="0" fontId="51" fillId="15" borderId="60" xfId="18" applyFont="1" applyBorder="1"/>
    <xf numFmtId="182" fontId="51" fillId="15" borderId="60" xfId="18" applyNumberFormat="1" applyFont="1" applyBorder="1"/>
    <xf numFmtId="0" fontId="51" fillId="15" borderId="61" xfId="18" applyFont="1"/>
    <xf numFmtId="0" fontId="56" fillId="15" borderId="61" xfId="18"/>
    <xf numFmtId="0" fontId="0" fillId="12" borderId="0" xfId="0" applyFill="1"/>
    <xf numFmtId="182" fontId="40" fillId="3" borderId="7" xfId="0" applyNumberFormat="1" applyFont="1" applyFill="1" applyBorder="1" applyAlignment="1">
      <alignment horizontal="center" vertical="center" wrapText="1"/>
    </xf>
    <xf numFmtId="0" fontId="40" fillId="3" borderId="18" xfId="0" applyFont="1" applyFill="1" applyBorder="1" applyAlignment="1">
      <alignment horizontal="center" vertical="center"/>
    </xf>
    <xf numFmtId="0" fontId="40" fillId="3" borderId="14" xfId="0" applyFont="1" applyFill="1" applyBorder="1" applyAlignment="1">
      <alignment horizontal="center" vertical="center"/>
    </xf>
    <xf numFmtId="0" fontId="40" fillId="3" borderId="13" xfId="0" applyFont="1" applyFill="1" applyBorder="1" applyAlignment="1">
      <alignment vertical="center"/>
    </xf>
    <xf numFmtId="0" fontId="40" fillId="3" borderId="17" xfId="0" applyFont="1" applyFill="1" applyBorder="1" applyAlignment="1">
      <alignment horizontal="center" vertical="center"/>
    </xf>
    <xf numFmtId="0" fontId="40" fillId="3" borderId="20" xfId="0" applyFont="1" applyFill="1" applyBorder="1" applyAlignment="1">
      <alignment horizontal="center" vertical="center" wrapText="1"/>
    </xf>
    <xf numFmtId="182" fontId="40" fillId="3" borderId="19" xfId="0" applyNumberFormat="1" applyFont="1" applyFill="1" applyBorder="1" applyAlignment="1">
      <alignment horizontal="center" vertical="center" wrapText="1"/>
    </xf>
    <xf numFmtId="0" fontId="40" fillId="3" borderId="20" xfId="0" applyFont="1" applyFill="1" applyBorder="1" applyAlignment="1">
      <alignment horizontal="center" vertical="center"/>
    </xf>
    <xf numFmtId="0" fontId="40" fillId="3" borderId="21" xfId="0" applyFont="1" applyFill="1" applyBorder="1" applyAlignment="1">
      <alignment horizontal="center" vertical="center"/>
    </xf>
    <xf numFmtId="4" fontId="0" fillId="12" borderId="21" xfId="0" applyNumberFormat="1" applyFont="1" applyFill="1" applyBorder="1" applyAlignment="1">
      <alignment horizontal="center"/>
    </xf>
    <xf numFmtId="0" fontId="40" fillId="3" borderId="21" xfId="0" applyFont="1" applyFill="1" applyBorder="1" applyAlignment="1">
      <alignment horizontal="center" vertical="center"/>
    </xf>
    <xf numFmtId="4" fontId="13" fillId="12" borderId="11" xfId="0" applyNumberFormat="1" applyFont="1" applyFill="1" applyBorder="1" applyAlignment="1">
      <alignment vertical="center"/>
    </xf>
    <xf numFmtId="4" fontId="13" fillId="12" borderId="21" xfId="0" applyNumberFormat="1" applyFont="1" applyFill="1" applyBorder="1" applyAlignment="1">
      <alignment vertical="center"/>
    </xf>
    <xf numFmtId="182" fontId="13" fillId="12" borderId="21" xfId="0" applyNumberFormat="1" applyFont="1" applyFill="1" applyBorder="1" applyAlignment="1">
      <alignment horizontal="center" vertical="center"/>
    </xf>
    <xf numFmtId="182" fontId="13" fillId="12" borderId="21" xfId="0" applyNumberFormat="1" applyFont="1" applyFill="1" applyBorder="1" applyAlignment="1">
      <alignment horizontal="center" vertical="center"/>
    </xf>
    <xf numFmtId="0" fontId="13" fillId="12" borderId="11" xfId="0" applyFont="1" applyFill="1" applyBorder="1" applyAlignment="1">
      <alignment vertical="center" wrapText="1"/>
    </xf>
    <xf numFmtId="182" fontId="57" fillId="13" borderId="11" xfId="0" applyNumberFormat="1" applyFont="1" applyFill="1" applyBorder="1" applyAlignment="1">
      <alignment vertical="center"/>
    </xf>
    <xf numFmtId="182" fontId="57" fillId="13" borderId="21" xfId="0" applyNumberFormat="1" applyFont="1" applyFill="1" applyBorder="1" applyAlignment="1">
      <alignment vertical="center"/>
    </xf>
    <xf numFmtId="182" fontId="41" fillId="13" borderId="11" xfId="0" applyNumberFormat="1" applyFont="1" applyFill="1" applyBorder="1" applyAlignment="1">
      <alignment horizontal="center" vertical="center"/>
    </xf>
    <xf numFmtId="0" fontId="13" fillId="12" borderId="11" xfId="0" applyFont="1" applyFill="1" applyBorder="1" applyAlignment="1">
      <alignment horizontal="left" vertical="center"/>
    </xf>
    <xf numFmtId="0" fontId="13" fillId="12" borderId="21" xfId="0" applyFont="1" applyFill="1" applyBorder="1" applyAlignment="1">
      <alignment horizontal="left" vertical="center"/>
    </xf>
    <xf numFmtId="0" fontId="5" fillId="12" borderId="11" xfId="0" applyFont="1" applyFill="1" applyBorder="1" applyAlignment="1">
      <alignment horizontal="right" vertical="center"/>
    </xf>
    <xf numFmtId="4" fontId="5" fillId="12" borderId="11" xfId="0" applyNumberFormat="1" applyFont="1" applyFill="1" applyBorder="1" applyAlignment="1">
      <alignment vertical="center"/>
    </xf>
    <xf numFmtId="0" fontId="13" fillId="12" borderId="11" xfId="0" applyFont="1" applyFill="1" applyBorder="1"/>
    <xf numFmtId="0" fontId="13" fillId="12" borderId="21" xfId="0" applyFont="1" applyFill="1" applyBorder="1"/>
    <xf numFmtId="0" fontId="5" fillId="12" borderId="11" xfId="0" applyFont="1" applyFill="1" applyBorder="1" applyAlignment="1">
      <alignment horizontal="right"/>
    </xf>
    <xf numFmtId="2" fontId="45" fillId="12" borderId="11" xfId="0" applyNumberFormat="1" applyFont="1" applyFill="1" applyBorder="1"/>
    <xf numFmtId="181" fontId="0" fillId="12" borderId="11" xfId="0" applyNumberFormat="1" applyFill="1" applyBorder="1" applyAlignment="1">
      <alignment horizontal="center" vertical="top"/>
    </xf>
    <xf numFmtId="0" fontId="58" fillId="12" borderId="11" xfId="24" applyFill="1" applyBorder="1" applyAlignment="1">
      <alignment vertical="center"/>
    </xf>
    <xf numFmtId="182" fontId="58" fillId="12" borderId="21" xfId="24" applyNumberFormat="1" applyFill="1" applyBorder="1" applyAlignment="1">
      <alignment vertical="center"/>
    </xf>
    <xf numFmtId="58" fontId="58" fillId="12" borderId="21" xfId="24" applyNumberFormat="1" applyFill="1" applyBorder="1" applyAlignment="1">
      <alignment vertical="center"/>
    </xf>
    <xf numFmtId="0" fontId="58" fillId="12" borderId="21" xfId="24" applyFill="1" applyBorder="1"/>
    <xf numFmtId="0" fontId="58" fillId="12" borderId="17" xfId="24" applyFill="1" applyBorder="1" applyAlignment="1">
      <alignment horizontal="left" vertical="center"/>
    </xf>
    <xf numFmtId="2" fontId="0" fillId="12" borderId="15" xfId="0" applyNumberFormat="1" applyFont="1" applyFill="1" applyBorder="1" applyAlignment="1">
      <alignment horizontal="center" vertical="center"/>
    </xf>
    <xf numFmtId="2" fontId="0" fillId="12" borderId="15" xfId="0" applyNumberFormat="1" applyFont="1" applyFill="1" applyBorder="1" applyAlignment="1">
      <alignment horizontal="center" vertical="center"/>
    </xf>
    <xf numFmtId="0" fontId="58" fillId="12" borderId="15" xfId="24" applyFill="1" applyBorder="1" applyAlignment="1">
      <alignment vertical="center"/>
    </xf>
    <xf numFmtId="182" fontId="58" fillId="12" borderId="11" xfId="24" applyNumberFormat="1" applyFill="1" applyBorder="1" applyAlignment="1">
      <alignment vertical="center"/>
    </xf>
    <xf numFmtId="58" fontId="58" fillId="12" borderId="11" xfId="24" applyNumberFormat="1" applyFill="1" applyBorder="1" applyAlignment="1">
      <alignment vertical="center"/>
    </xf>
    <xf numFmtId="182" fontId="58" fillId="12" borderId="13" xfId="24" applyNumberFormat="1" applyFill="1" applyBorder="1" applyAlignment="1">
      <alignment vertical="center"/>
    </xf>
    <xf numFmtId="0" fontId="58" fillId="12" borderId="11" xfId="24" applyFill="1" applyBorder="1" applyAlignment="1">
      <alignment horizontal="left" vertical="center"/>
    </xf>
    <xf numFmtId="0" fontId="58" fillId="12" borderId="8" xfId="24" applyFill="1" applyBorder="1" applyAlignment="1">
      <alignment vertical="center"/>
    </xf>
    <xf numFmtId="0" fontId="58" fillId="12" borderId="14" xfId="24" applyFill="1" applyBorder="1" applyAlignment="1">
      <alignment vertical="center"/>
    </xf>
    <xf numFmtId="0" fontId="58" fillId="12" borderId="10" xfId="24" applyFill="1" applyBorder="1" applyAlignment="1">
      <alignment vertical="center"/>
    </xf>
    <xf numFmtId="0" fontId="58" fillId="12" borderId="9" xfId="24" applyFill="1" applyBorder="1" applyAlignment="1">
      <alignment vertical="center"/>
    </xf>
    <xf numFmtId="58" fontId="58" fillId="12" borderId="14" xfId="24" applyNumberFormat="1" applyFill="1" applyBorder="1" applyAlignment="1">
      <alignment vertical="center"/>
    </xf>
    <xf numFmtId="0" fontId="58" fillId="12" borderId="17" xfId="24" applyFill="1" applyBorder="1"/>
    <xf numFmtId="0" fontId="58" fillId="12" borderId="0" xfId="24" applyFill="1"/>
    <xf numFmtId="2" fontId="59" fillId="12" borderId="8" xfId="23" applyNumberFormat="1" applyFill="1" applyBorder="1" applyAlignment="1">
      <alignment vertical="center"/>
    </xf>
    <xf numFmtId="2" fontId="59" fillId="12" borderId="8" xfId="23" applyNumberFormat="1" applyFill="1" applyBorder="1" applyAlignment="1">
      <alignment vertical="center"/>
    </xf>
    <xf numFmtId="0" fontId="0" fillId="12" borderId="11" xfId="0" applyFill="1" applyBorder="1" applyAlignment="1"/>
    <xf numFmtId="0" fontId="38" fillId="12" borderId="13" xfId="0" applyFont="1" applyFill="1" applyBorder="1" applyAlignment="1"/>
    <xf numFmtId="0" fontId="38" fillId="12" borderId="11" xfId="0" applyFont="1" applyFill="1" applyBorder="1" applyAlignment="1"/>
    <xf numFmtId="182" fontId="0" fillId="12" borderId="11" xfId="0" applyNumberFormat="1" applyFont="1" applyFill="1" applyBorder="1" applyAlignment="1"/>
    <xf numFmtId="0" fontId="10" fillId="12" borderId="11" xfId="0" applyFont="1" applyFill="1" applyBorder="1" applyAlignment="1"/>
    <xf numFmtId="182" fontId="60" fillId="12" borderId="11" xfId="23" applyNumberFormat="1" applyFont="1" applyFill="1" applyBorder="1" applyAlignment="1"/>
    <xf numFmtId="0" fontId="38" fillId="12" borderId="11" xfId="0" applyFont="1" applyFill="1" applyBorder="1" applyAlignment="1">
      <alignment horizontal="left"/>
    </xf>
    <xf numFmtId="0" fontId="38" fillId="12" borderId="16" xfId="0" applyFont="1" applyFill="1" applyBorder="1" applyAlignment="1">
      <alignment horizontal="left"/>
    </xf>
    <xf numFmtId="0" fontId="38" fillId="12" borderId="16" xfId="0" applyFont="1" applyFill="1" applyBorder="1" applyAlignment="1">
      <alignment horizontal="left"/>
    </xf>
    <xf numFmtId="0" fontId="12" fillId="0" borderId="8" xfId="0" applyFont="1" applyFill="1" applyBorder="1" applyAlignment="1">
      <alignment vertical="center"/>
    </xf>
    <xf numFmtId="0" fontId="12" fillId="0" borderId="9" xfId="0" applyFont="1" applyFill="1" applyBorder="1" applyAlignment="1">
      <alignment vertical="center"/>
    </xf>
    <xf numFmtId="0" fontId="12" fillId="0" borderId="9" xfId="0" applyFont="1" applyFill="1" applyBorder="1" applyAlignment="1">
      <alignment vertical="center"/>
    </xf>
    <xf numFmtId="0" fontId="12" fillId="0" borderId="20" xfId="0" applyFont="1" applyFill="1" applyBorder="1" applyAlignment="1">
      <alignment vertical="center"/>
    </xf>
    <xf numFmtId="0" fontId="12" fillId="0" borderId="39" xfId="0" applyFont="1" applyFill="1" applyBorder="1" applyAlignment="1">
      <alignment vertical="center"/>
    </xf>
    <xf numFmtId="0" fontId="12" fillId="0" borderId="39" xfId="0" applyFont="1" applyFill="1" applyBorder="1" applyAlignment="1">
      <alignment vertical="center"/>
    </xf>
    <xf numFmtId="0" fontId="0" fillId="0" borderId="14" xfId="0" applyBorder="1" applyAlignment="1">
      <alignment vertical="center"/>
    </xf>
    <xf numFmtId="0" fontId="0" fillId="12" borderId="10" xfId="0" applyFill="1" applyBorder="1" applyAlignment="1">
      <alignment vertical="center"/>
    </xf>
    <xf numFmtId="4" fontId="0" fillId="0" borderId="14" xfId="0" applyNumberFormat="1" applyBorder="1" applyAlignment="1">
      <alignment vertical="center"/>
    </xf>
    <xf numFmtId="58" fontId="0" fillId="0" borderId="14" xfId="0" applyNumberFormat="1" applyBorder="1" applyAlignment="1">
      <alignment vertical="center"/>
    </xf>
    <xf numFmtId="0" fontId="7" fillId="0" borderId="11" xfId="0" applyFont="1" applyBorder="1" applyAlignment="1">
      <alignment vertical="center"/>
    </xf>
    <xf numFmtId="4" fontId="0" fillId="12" borderId="8" xfId="0" applyNumberFormat="1" applyFill="1" applyBorder="1" applyAlignment="1">
      <alignment vertical="center"/>
    </xf>
    <xf numFmtId="4" fontId="0" fillId="12" borderId="8" xfId="0" applyNumberFormat="1" applyFill="1" applyBorder="1" applyAlignment="1">
      <alignment vertical="center"/>
    </xf>
    <xf numFmtId="0" fontId="0" fillId="0" borderId="11" xfId="0" applyBorder="1" applyAlignment="1">
      <alignment vertical="center"/>
    </xf>
    <xf numFmtId="0" fontId="0" fillId="12" borderId="13" xfId="0" applyFill="1" applyBorder="1" applyAlignment="1">
      <alignment vertical="center"/>
    </xf>
    <xf numFmtId="4" fontId="0" fillId="0" borderId="11" xfId="0" applyNumberFormat="1" applyBorder="1" applyAlignment="1">
      <alignment vertical="center"/>
    </xf>
    <xf numFmtId="58" fontId="0" fillId="0" borderId="11" xfId="0" applyNumberFormat="1" applyBorder="1" applyAlignment="1">
      <alignment vertical="center"/>
    </xf>
    <xf numFmtId="4" fontId="0" fillId="12" borderId="15" xfId="0" applyNumberFormat="1" applyFill="1" applyBorder="1" applyAlignment="1">
      <alignment vertical="center"/>
    </xf>
    <xf numFmtId="4" fontId="0" fillId="12" borderId="15" xfId="0" applyNumberFormat="1" applyFill="1" applyBorder="1" applyAlignment="1">
      <alignment vertical="center"/>
    </xf>
    <xf numFmtId="0" fontId="0" fillId="12" borderId="11" xfId="0" applyFill="1" applyBorder="1" applyAlignment="1">
      <alignment vertical="center"/>
    </xf>
    <xf numFmtId="0" fontId="0" fillId="0" borderId="11" xfId="0" applyBorder="1" applyAlignment="1"/>
    <xf numFmtId="4" fontId="0" fillId="12" borderId="20" xfId="0" applyNumberFormat="1" applyFill="1" applyBorder="1" applyAlignment="1">
      <alignment vertical="center"/>
    </xf>
    <xf numFmtId="4" fontId="0" fillId="12" borderId="20" xfId="0" applyNumberFormat="1" applyFill="1" applyBorder="1" applyAlignment="1">
      <alignment vertical="center"/>
    </xf>
    <xf numFmtId="0" fontId="0" fillId="0" borderId="21" xfId="0" applyBorder="1" applyAlignment="1"/>
    <xf numFmtId="0" fontId="0" fillId="0" borderId="21" xfId="0" applyBorder="1" applyAlignment="1">
      <alignment vertical="center"/>
    </xf>
    <xf numFmtId="0" fontId="0" fillId="12" borderId="21" xfId="0" applyFill="1" applyBorder="1" applyAlignment="1">
      <alignment vertical="center"/>
    </xf>
    <xf numFmtId="4" fontId="0" fillId="0" borderId="21" xfId="0" applyNumberFormat="1" applyBorder="1" applyAlignment="1">
      <alignment vertical="center"/>
    </xf>
    <xf numFmtId="58" fontId="0" fillId="0" borderId="21" xfId="0" applyNumberFormat="1" applyBorder="1" applyAlignment="1">
      <alignment vertical="center"/>
    </xf>
    <xf numFmtId="0" fontId="0" fillId="0" borderId="17" xfId="0" applyBorder="1" applyAlignment="1">
      <alignment vertical="center"/>
    </xf>
    <xf numFmtId="0" fontId="0" fillId="0" borderId="17" xfId="0" applyBorder="1" applyAlignment="1">
      <alignment horizontal="center" vertical="center"/>
    </xf>
    <xf numFmtId="4" fontId="0" fillId="14" borderId="15" xfId="0" applyNumberFormat="1" applyFill="1" applyBorder="1" applyAlignment="1">
      <alignment vertical="center"/>
    </xf>
    <xf numFmtId="4" fontId="0" fillId="14" borderId="15" xfId="0" applyNumberFormat="1" applyFill="1" applyBorder="1" applyAlignment="1">
      <alignment vertical="center"/>
    </xf>
    <xf numFmtId="58" fontId="61" fillId="12" borderId="11" xfId="0" applyNumberFormat="1" applyFont="1" applyFill="1" applyBorder="1" applyAlignment="1">
      <alignment horizontal="right" vertical="center"/>
    </xf>
    <xf numFmtId="0" fontId="0" fillId="0" borderId="11" xfId="0" applyFont="1" applyBorder="1" applyAlignment="1">
      <alignment vertical="center"/>
    </xf>
    <xf numFmtId="58" fontId="0" fillId="0" borderId="11" xfId="0" applyNumberFormat="1" applyFont="1" applyBorder="1" applyAlignment="1">
      <alignment vertical="center"/>
    </xf>
    <xf numFmtId="4" fontId="0" fillId="14" borderId="0" xfId="0" applyNumberFormat="1" applyFill="1" applyAlignment="1">
      <alignment vertical="center"/>
    </xf>
    <xf numFmtId="182" fontId="13" fillId="12" borderId="11" xfId="0" applyNumberFormat="1" applyFont="1" applyFill="1" applyBorder="1" applyAlignment="1">
      <alignment vertical="center"/>
    </xf>
    <xf numFmtId="182" fontId="6" fillId="12" borderId="11" xfId="0" applyNumberFormat="1" applyFont="1" applyFill="1" applyBorder="1" applyAlignment="1">
      <alignment vertical="center"/>
    </xf>
    <xf numFmtId="182" fontId="0" fillId="12" borderId="11" xfId="0" applyNumberFormat="1" applyFont="1" applyFill="1" applyBorder="1" applyAlignment="1">
      <alignment vertical="center"/>
    </xf>
    <xf numFmtId="58" fontId="0" fillId="12" borderId="11" xfId="0" applyNumberFormat="1" applyFont="1" applyFill="1" applyBorder="1" applyAlignment="1">
      <alignment vertical="center"/>
    </xf>
    <xf numFmtId="182" fontId="0" fillId="12" borderId="11" xfId="0" applyNumberFormat="1" applyFill="1" applyBorder="1" applyAlignment="1">
      <alignment vertical="center"/>
    </xf>
    <xf numFmtId="182" fontId="0" fillId="12" borderId="21" xfId="0" applyNumberFormat="1" applyFill="1" applyBorder="1" applyAlignment="1">
      <alignment horizontal="center" vertical="center"/>
    </xf>
    <xf numFmtId="58" fontId="0" fillId="12" borderId="21" xfId="0" applyNumberFormat="1" applyFont="1" applyFill="1" applyBorder="1" applyAlignment="1">
      <alignment vertical="center"/>
    </xf>
    <xf numFmtId="182" fontId="0" fillId="12" borderId="21" xfId="0" applyNumberFormat="1" applyFont="1" applyFill="1" applyBorder="1" applyAlignment="1">
      <alignment horizontal="center" vertical="center"/>
    </xf>
    <xf numFmtId="0" fontId="0" fillId="0" borderId="21" xfId="0" applyBorder="1" applyAlignment="1">
      <alignment horizontal="center" vertical="center"/>
    </xf>
    <xf numFmtId="0" fontId="0" fillId="12" borderId="14" xfId="0" applyFill="1" applyBorder="1" applyAlignment="1">
      <alignment vertical="center"/>
    </xf>
    <xf numFmtId="182" fontId="0" fillId="12" borderId="14" xfId="0" applyNumberFormat="1" applyFont="1" applyFill="1" applyBorder="1" applyAlignment="1">
      <alignment horizontal="center" vertical="center"/>
    </xf>
    <xf numFmtId="58" fontId="0" fillId="12" borderId="14" xfId="0" applyNumberFormat="1" applyFont="1" applyFill="1" applyBorder="1" applyAlignment="1">
      <alignment vertical="center"/>
    </xf>
    <xf numFmtId="0" fontId="0" fillId="12" borderId="14" xfId="0" applyFont="1" applyFill="1" applyBorder="1" applyAlignment="1">
      <alignment horizontal="left" vertical="center"/>
    </xf>
    <xf numFmtId="4" fontId="0" fillId="14" borderId="8" xfId="0" applyNumberFormat="1" applyFill="1" applyBorder="1" applyAlignment="1">
      <alignment vertical="center"/>
    </xf>
    <xf numFmtId="4" fontId="0" fillId="12" borderId="11" xfId="0" applyNumberFormat="1" applyFill="1" applyBorder="1"/>
    <xf numFmtId="4" fontId="6" fillId="12" borderId="11" xfId="0" applyNumberFormat="1" applyFont="1" applyFill="1" applyBorder="1"/>
    <xf numFmtId="4" fontId="5" fillId="0" borderId="11" xfId="0" applyNumberFormat="1" applyFont="1" applyBorder="1"/>
    <xf numFmtId="0" fontId="0" fillId="0" borderId="62" xfId="0" applyBorder="1"/>
    <xf numFmtId="0" fontId="0" fillId="0" borderId="21" xfId="0" applyBorder="1"/>
    <xf numFmtId="0" fontId="0" fillId="0" borderId="20" xfId="0" applyBorder="1"/>
    <xf numFmtId="58" fontId="0" fillId="0" borderId="21" xfId="0" applyNumberFormat="1" applyBorder="1"/>
    <xf numFmtId="0" fontId="0" fillId="0" borderId="7" xfId="0" applyBorder="1"/>
    <xf numFmtId="0" fontId="0" fillId="0" borderId="12" xfId="0" applyFill="1" applyBorder="1"/>
    <xf numFmtId="0" fontId="0" fillId="0" borderId="20" xfId="0" applyFill="1" applyBorder="1"/>
    <xf numFmtId="0" fontId="0" fillId="0" borderId="17" xfId="0" applyBorder="1"/>
    <xf numFmtId="0" fontId="0" fillId="0" borderId="18" xfId="0" applyBorder="1"/>
    <xf numFmtId="0" fontId="0" fillId="0" borderId="0" xfId="0" applyFill="1" applyBorder="1"/>
    <xf numFmtId="58" fontId="0" fillId="0" borderId="17" xfId="0" applyNumberFormat="1" applyBorder="1"/>
    <xf numFmtId="0" fontId="0" fillId="0" borderId="15" xfId="0" applyFill="1" applyBorder="1"/>
    <xf numFmtId="0" fontId="0" fillId="0" borderId="11" xfId="0" applyBorder="1" applyAlignment="1">
      <alignment horizontal="right" vertical="top"/>
    </xf>
    <xf numFmtId="0" fontId="0" fillId="0" borderId="28" xfId="0" applyFill="1" applyBorder="1"/>
    <xf numFmtId="0" fontId="0" fillId="12" borderId="41" xfId="0" applyFill="1" applyBorder="1" applyAlignment="1">
      <alignment vertical="center"/>
    </xf>
    <xf numFmtId="0" fontId="0" fillId="0" borderId="41" xfId="0" applyBorder="1" applyAlignment="1">
      <alignment vertical="center"/>
    </xf>
    <xf numFmtId="0" fontId="0" fillId="0" borderId="40" xfId="0" applyBorder="1"/>
    <xf numFmtId="58" fontId="0" fillId="0" borderId="63" xfId="0" applyNumberFormat="1" applyBorder="1" applyAlignment="1"/>
    <xf numFmtId="0" fontId="0" fillId="0" borderId="63" xfId="0" applyBorder="1"/>
    <xf numFmtId="0" fontId="0" fillId="0" borderId="64" xfId="0" applyFill="1" applyBorder="1"/>
    <xf numFmtId="0" fontId="0" fillId="0" borderId="65" xfId="0" applyBorder="1"/>
    <xf numFmtId="0" fontId="0" fillId="0" borderId="66" xfId="0" applyBorder="1"/>
    <xf numFmtId="0" fontId="0" fillId="0" borderId="20" xfId="0" applyBorder="1" applyAlignment="1"/>
    <xf numFmtId="0" fontId="0" fillId="0" borderId="18" xfId="0" applyBorder="1" applyAlignment="1"/>
    <xf numFmtId="0" fontId="0" fillId="0" borderId="15" xfId="0" applyBorder="1" applyAlignment="1"/>
    <xf numFmtId="0" fontId="0" fillId="0" borderId="26" xfId="0" applyFill="1" applyBorder="1"/>
    <xf numFmtId="0" fontId="0" fillId="0" borderId="14" xfId="0" applyBorder="1"/>
    <xf numFmtId="0" fontId="0" fillId="12" borderId="63" xfId="0" applyFill="1" applyBorder="1" applyAlignment="1">
      <alignment vertical="center"/>
    </xf>
    <xf numFmtId="0" fontId="0" fillId="0" borderId="63" xfId="0" applyFill="1" applyBorder="1" applyAlignment="1">
      <alignment vertical="center"/>
    </xf>
    <xf numFmtId="0" fontId="0" fillId="0" borderId="40" xfId="0" applyBorder="1" applyAlignment="1"/>
    <xf numFmtId="58" fontId="0" fillId="0" borderId="63" xfId="0" applyNumberFormat="1" applyBorder="1"/>
    <xf numFmtId="0" fontId="0" fillId="0" borderId="67" xfId="0" applyFill="1" applyBorder="1"/>
    <xf numFmtId="0" fontId="0" fillId="12" borderId="65" xfId="0" applyFill="1" applyBorder="1" applyAlignment="1">
      <alignment vertical="center"/>
    </xf>
    <xf numFmtId="0" fontId="0" fillId="0" borderId="65" xfId="0" applyFill="1" applyBorder="1" applyAlignment="1">
      <alignment vertical="center"/>
    </xf>
    <xf numFmtId="0" fontId="0" fillId="0" borderId="66" xfId="0" applyBorder="1" applyAlignment="1"/>
    <xf numFmtId="58" fontId="0" fillId="0" borderId="65" xfId="0" applyNumberFormat="1" applyBorder="1"/>
    <xf numFmtId="0" fontId="0" fillId="12" borderId="17" xfId="0" applyFill="1" applyBorder="1" applyAlignment="1">
      <alignment vertical="center"/>
    </xf>
    <xf numFmtId="0" fontId="0" fillId="0" borderId="17" xfId="0" applyFill="1" applyBorder="1" applyAlignment="1">
      <alignment vertical="center"/>
    </xf>
    <xf numFmtId="0" fontId="0" fillId="0" borderId="11" xfId="0" applyFill="1" applyBorder="1" applyAlignment="1">
      <alignment vertical="center"/>
    </xf>
    <xf numFmtId="0" fontId="0" fillId="0" borderId="32" xfId="0" applyFill="1" applyBorder="1"/>
    <xf numFmtId="0" fontId="0" fillId="0" borderId="20" xfId="0" applyFill="1" applyBorder="1" applyAlignment="1">
      <alignment vertical="center"/>
    </xf>
    <xf numFmtId="0" fontId="0" fillId="0" borderId="19" xfId="0" applyBorder="1"/>
    <xf numFmtId="0" fontId="0" fillId="0" borderId="0" xfId="0" applyFill="1" applyBorder="1" applyAlignment="1">
      <alignment vertical="center"/>
    </xf>
    <xf numFmtId="0" fontId="0" fillId="0" borderId="8" xfId="0" applyBorder="1"/>
    <xf numFmtId="0" fontId="0" fillId="0" borderId="68" xfId="0" applyFill="1" applyBorder="1"/>
    <xf numFmtId="0" fontId="0" fillId="0" borderId="41" xfId="0" applyBorder="1"/>
    <xf numFmtId="0" fontId="0" fillId="0" borderId="43" xfId="0" applyBorder="1"/>
    <xf numFmtId="0" fontId="0" fillId="0" borderId="54" xfId="0" applyBorder="1"/>
    <xf numFmtId="0" fontId="0" fillId="0" borderId="41" xfId="0" applyBorder="1" applyAlignment="1"/>
    <xf numFmtId="58" fontId="0" fillId="0" borderId="41" xfId="0" applyNumberFormat="1" applyBorder="1"/>
    <xf numFmtId="0" fontId="0" fillId="0" borderId="22" xfId="0" applyFill="1" applyBorder="1"/>
    <xf numFmtId="0" fontId="0" fillId="0" borderId="17" xfId="0" applyBorder="1" applyAlignment="1"/>
    <xf numFmtId="0" fontId="0" fillId="0" borderId="16" xfId="0" applyFill="1" applyBorder="1" applyAlignment="1">
      <alignment vertical="center"/>
    </xf>
    <xf numFmtId="0" fontId="0" fillId="0" borderId="16" xfId="0" applyFill="1" applyBorder="1"/>
    <xf numFmtId="0" fontId="0" fillId="0" borderId="39" xfId="0" applyFill="1" applyBorder="1" applyAlignment="1">
      <alignment vertical="center"/>
    </xf>
    <xf numFmtId="0" fontId="0" fillId="0" borderId="39" xfId="0" applyFill="1" applyBorder="1"/>
    <xf numFmtId="0" fontId="0" fillId="0" borderId="15" xfId="0" applyFill="1" applyBorder="1" applyAlignment="1">
      <alignment vertical="center"/>
    </xf>
    <xf numFmtId="0" fontId="0" fillId="0" borderId="69" xfId="0" applyFill="1" applyBorder="1"/>
    <xf numFmtId="0" fontId="0" fillId="0" borderId="29" xfId="0" applyFill="1" applyBorder="1" applyAlignment="1">
      <alignment vertical="center"/>
    </xf>
    <xf numFmtId="0" fontId="0" fillId="0" borderId="70" xfId="0" applyFill="1" applyBorder="1"/>
    <xf numFmtId="0" fontId="0" fillId="0" borderId="63" xfId="0" applyBorder="1" applyAlignment="1"/>
    <xf numFmtId="182" fontId="0" fillId="0" borderId="11" xfId="0" applyNumberFormat="1" applyBorder="1" applyAlignment="1"/>
    <xf numFmtId="182" fontId="0" fillId="0" borderId="21" xfId="0" applyNumberFormat="1" applyBorder="1" applyAlignment="1"/>
    <xf numFmtId="0" fontId="0" fillId="0" borderId="7" xfId="0" applyFill="1" applyBorder="1"/>
    <xf numFmtId="0" fontId="0" fillId="0" borderId="7" xfId="0" applyBorder="1" applyAlignment="1"/>
    <xf numFmtId="0" fontId="0" fillId="0" borderId="10" xfId="0" applyBorder="1"/>
    <xf numFmtId="0" fontId="0" fillId="0" borderId="24" xfId="0" applyBorder="1"/>
    <xf numFmtId="0" fontId="0" fillId="0" borderId="71" xfId="0" applyBorder="1"/>
    <xf numFmtId="0" fontId="0" fillId="0" borderId="12" xfId="0" applyBorder="1"/>
    <xf numFmtId="0" fontId="40" fillId="0" borderId="72" xfId="23" applyFont="1" applyFill="1" applyBorder="1" applyAlignment="1">
      <alignment horizontal="right" wrapText="1"/>
    </xf>
    <xf numFmtId="0" fontId="40" fillId="0" borderId="71" xfId="23" applyFont="1" applyFill="1" applyBorder="1" applyAlignment="1">
      <alignment horizontal="right" wrapText="1"/>
    </xf>
    <xf numFmtId="4" fontId="45" fillId="16" borderId="71" xfId="23" applyNumberFormat="1" applyFont="1" applyFill="1" applyBorder="1"/>
    <xf numFmtId="0" fontId="6" fillId="0" borderId="5" xfId="0" applyFont="1" applyBorder="1" applyAlignment="1">
      <alignment horizontal="right" wrapText="1"/>
    </xf>
    <xf numFmtId="0" fontId="6" fillId="0" borderId="71" xfId="0" applyFont="1" applyBorder="1" applyAlignment="1">
      <alignment horizontal="right" wrapText="1"/>
    </xf>
    <xf numFmtId="0" fontId="0" fillId="0" borderId="69" xfId="0" applyBorder="1"/>
    <xf numFmtId="0" fontId="14" fillId="0" borderId="67" xfId="0" applyFont="1" applyBorder="1" applyAlignment="1">
      <alignment horizontal="right"/>
    </xf>
    <xf numFmtId="0" fontId="14" fillId="0" borderId="73" xfId="0" applyFont="1" applyBorder="1" applyAlignment="1">
      <alignment horizontal="right"/>
    </xf>
    <xf numFmtId="182" fontId="11" fillId="0" borderId="6" xfId="0" applyNumberFormat="1" applyFont="1" applyBorder="1"/>
    <xf numFmtId="0" fontId="0" fillId="0" borderId="70" xfId="0" applyBorder="1"/>
    <xf numFmtId="182" fontId="40" fillId="3" borderId="17" xfId="0" applyNumberFormat="1" applyFont="1" applyFill="1" applyBorder="1" applyAlignment="1">
      <alignment horizontal="center" vertical="center" wrapText="1"/>
    </xf>
    <xf numFmtId="0" fontId="40" fillId="3" borderId="19" xfId="0" applyFont="1" applyFill="1" applyBorder="1" applyAlignment="1">
      <alignment horizontal="center" vertical="center"/>
    </xf>
    <xf numFmtId="182" fontId="40" fillId="0" borderId="21" xfId="0" applyNumberFormat="1" applyFont="1" applyFill="1" applyBorder="1" applyAlignment="1">
      <alignment horizontal="center" vertical="center" wrapText="1"/>
    </xf>
    <xf numFmtId="182" fontId="40" fillId="3" borderId="21" xfId="0" applyNumberFormat="1" applyFont="1" applyFill="1" applyBorder="1" applyAlignment="1">
      <alignment horizontal="center" vertical="center" wrapText="1"/>
    </xf>
    <xf numFmtId="4" fontId="13" fillId="12" borderId="21" xfId="0" applyNumberFormat="1" applyFont="1" applyFill="1" applyBorder="1" applyAlignment="1">
      <alignment horizontal="center"/>
    </xf>
    <xf numFmtId="0" fontId="13" fillId="12" borderId="17" xfId="0" applyFont="1" applyFill="1" applyBorder="1" applyAlignment="1">
      <alignment vertical="center"/>
    </xf>
    <xf numFmtId="181" fontId="0" fillId="12" borderId="14" xfId="0" applyNumberFormat="1" applyFill="1" applyBorder="1" applyAlignment="1">
      <alignment horizontal="center"/>
    </xf>
    <xf numFmtId="58" fontId="0" fillId="0" borderId="11" xfId="0" applyNumberFormat="1" applyBorder="1" applyAlignment="1">
      <alignment horizontal="center"/>
    </xf>
    <xf numFmtId="0" fontId="62" fillId="0" borderId="37" xfId="0" applyFont="1" applyFill="1" applyBorder="1" applyAlignment="1">
      <alignment horizontal="center"/>
    </xf>
    <xf numFmtId="0" fontId="0" fillId="0" borderId="21" xfId="0" applyFont="1" applyFill="1" applyBorder="1" applyAlignment="1">
      <alignment horizontal="center"/>
    </xf>
    <xf numFmtId="0" fontId="19" fillId="0" borderId="21" xfId="0" applyFont="1" applyFill="1" applyBorder="1" applyAlignment="1">
      <alignment vertical="center"/>
    </xf>
    <xf numFmtId="0" fontId="19" fillId="0" borderId="11" xfId="0" applyFont="1" applyFill="1" applyBorder="1" applyAlignment="1">
      <alignment vertical="center"/>
    </xf>
    <xf numFmtId="181" fontId="62" fillId="0" borderId="14" xfId="0" applyNumberFormat="1" applyFont="1" applyFill="1" applyBorder="1" applyAlignment="1">
      <alignment horizontal="center"/>
    </xf>
    <xf numFmtId="58" fontId="62" fillId="0" borderId="11" xfId="0" applyNumberFormat="1" applyFont="1" applyFill="1" applyBorder="1" applyAlignment="1">
      <alignment horizontal="center"/>
    </xf>
    <xf numFmtId="0" fontId="19" fillId="0" borderId="11" xfId="0" applyFont="1" applyFill="1" applyBorder="1"/>
    <xf numFmtId="0" fontId="19" fillId="0" borderId="21" xfId="0" applyFont="1" applyFill="1" applyBorder="1"/>
    <xf numFmtId="182" fontId="13" fillId="0" borderId="21" xfId="0" applyNumberFormat="1" applyFont="1" applyFill="1" applyBorder="1" applyAlignment="1">
      <alignment horizontal="center" vertical="center"/>
    </xf>
    <xf numFmtId="0" fontId="62" fillId="0" borderId="11" xfId="0" applyFont="1" applyFill="1" applyBorder="1"/>
    <xf numFmtId="0" fontId="0" fillId="0" borderId="36" xfId="0" applyBorder="1"/>
    <xf numFmtId="0" fontId="62" fillId="0" borderId="21" xfId="0" applyFont="1" applyFill="1" applyBorder="1"/>
    <xf numFmtId="0" fontId="62" fillId="0" borderId="36" xfId="0" applyFont="1" applyFill="1" applyBorder="1"/>
    <xf numFmtId="0" fontId="0" fillId="12" borderId="37" xfId="0" applyFill="1" applyBorder="1" applyAlignment="1">
      <alignment horizontal="center"/>
    </xf>
    <xf numFmtId="0" fontId="0" fillId="12" borderId="12" xfId="0" applyFill="1" applyBorder="1" applyAlignment="1">
      <alignment horizontal="center"/>
    </xf>
    <xf numFmtId="0" fontId="0" fillId="12" borderId="19" xfId="0" applyFill="1" applyBorder="1" applyAlignment="1">
      <alignment horizontal="center"/>
    </xf>
    <xf numFmtId="0" fontId="0" fillId="12" borderId="21" xfId="0" applyFill="1" applyBorder="1" applyAlignment="1">
      <alignment horizontal="center"/>
    </xf>
    <xf numFmtId="0" fontId="0" fillId="12" borderId="13" xfId="0" applyFill="1" applyBorder="1"/>
    <xf numFmtId="0" fontId="0" fillId="12" borderId="14" xfId="0" applyFill="1" applyBorder="1" applyAlignment="1">
      <alignment horizontal="center"/>
    </xf>
    <xf numFmtId="4" fontId="0" fillId="0" borderId="11" xfId="0" applyNumberFormat="1" applyBorder="1" applyAlignment="1">
      <alignment horizontal="center"/>
    </xf>
    <xf numFmtId="0" fontId="0" fillId="12" borderId="14" xfId="0" applyFill="1" applyBorder="1"/>
    <xf numFmtId="0" fontId="10" fillId="0" borderId="21" xfId="0" applyFont="1" applyFill="1" applyBorder="1" applyAlignment="1">
      <alignment horizontal="center" wrapText="1"/>
    </xf>
    <xf numFmtId="181" fontId="0" fillId="12" borderId="11" xfId="0" applyNumberFormat="1" applyFill="1" applyBorder="1"/>
    <xf numFmtId="0" fontId="0" fillId="12" borderId="34" xfId="0" applyFill="1" applyBorder="1"/>
    <xf numFmtId="0" fontId="0" fillId="12" borderId="16" xfId="0" applyFill="1" applyBorder="1"/>
    <xf numFmtId="0" fontId="0" fillId="12" borderId="15" xfId="0" applyFill="1" applyBorder="1"/>
    <xf numFmtId="0" fontId="0" fillId="0" borderId="11" xfId="0" applyFill="1" applyBorder="1"/>
    <xf numFmtId="0" fontId="0" fillId="0" borderId="13" xfId="0" applyBorder="1"/>
    <xf numFmtId="0" fontId="0" fillId="0" borderId="68" xfId="0" applyBorder="1"/>
    <xf numFmtId="0" fontId="0" fillId="0" borderId="74" xfId="0" applyBorder="1"/>
    <xf numFmtId="0" fontId="24" fillId="0" borderId="17" xfId="0" applyFont="1" applyFill="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mruColors>
      <color rgb="00FF7C80"/>
      <color rgb="00FF00FF"/>
      <color rgb="00FF00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76200</xdr:rowOff>
    </xdr:from>
    <xdr:to>
      <xdr:col>0</xdr:col>
      <xdr:colOff>1075055</xdr:colOff>
      <xdr:row>3</xdr:row>
      <xdr:rowOff>66040</xdr:rowOff>
    </xdr:to>
    <xdr:pic>
      <xdr:nvPicPr>
        <xdr:cNvPr id="2" name="Image 5" descr="PNG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9525" y="76200"/>
          <a:ext cx="1065530" cy="951865"/>
        </a:xfrm>
        <a:prstGeom prst="rect">
          <a:avLst/>
        </a:prstGeom>
        <a:noFill/>
        <a:ln w="9525">
          <a:noFill/>
          <a:miter lim="800000"/>
          <a:headEnd/>
          <a:tailEnd/>
        </a:ln>
      </xdr:spPr>
    </xdr:pic>
    <xdr:clientData/>
  </xdr:twoCellAnchor>
  <xdr:twoCellAnchor editAs="oneCell">
    <xdr:from>
      <xdr:col>21</xdr:col>
      <xdr:colOff>170815</xdr:colOff>
      <xdr:row>0</xdr:row>
      <xdr:rowOff>75565</xdr:rowOff>
    </xdr:from>
    <xdr:to>
      <xdr:col>21</xdr:col>
      <xdr:colOff>1275715</xdr:colOff>
      <xdr:row>3</xdr:row>
      <xdr:rowOff>142875</xdr:rowOff>
    </xdr:to>
    <xdr:pic>
      <xdr:nvPicPr>
        <xdr:cNvPr id="3" name="Image 2" descr="DoW-Logo"/>
        <xdr:cNvPicPr/>
      </xdr:nvPicPr>
      <xdr:blipFill>
        <a:blip r:embed="rId2" cstate="print"/>
        <a:stretch>
          <a:fillRect/>
        </a:stretch>
      </xdr:blipFill>
      <xdr:spPr>
        <a:xfrm>
          <a:off x="16020415" y="75565"/>
          <a:ext cx="1104900" cy="102933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161925</xdr:rowOff>
    </xdr:from>
    <xdr:to>
      <xdr:col>0</xdr:col>
      <xdr:colOff>923924</xdr:colOff>
      <xdr:row>3</xdr:row>
      <xdr:rowOff>19050</xdr:rowOff>
    </xdr:to>
    <xdr:pic>
      <xdr:nvPicPr>
        <xdr:cNvPr id="2" name="Image 5" descr="PNG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0" y="161925"/>
          <a:ext cx="923290" cy="819150"/>
        </a:xfrm>
        <a:prstGeom prst="rect">
          <a:avLst/>
        </a:prstGeom>
        <a:noFill/>
        <a:ln w="9525">
          <a:noFill/>
          <a:miter lim="800000"/>
          <a:headEnd/>
          <a:tailEnd/>
        </a:ln>
      </xdr:spPr>
    </xdr:pic>
    <xdr:clientData/>
  </xdr:twoCellAnchor>
  <xdr:oneCellAnchor>
    <xdr:from>
      <xdr:col>6</xdr:col>
      <xdr:colOff>945380</xdr:colOff>
      <xdr:row>20</xdr:row>
      <xdr:rowOff>132739</xdr:rowOff>
    </xdr:from>
    <xdr:ext cx="540520" cy="6229964"/>
    <xdr:sp>
      <xdr:nvSpPr>
        <xdr:cNvPr id="4" name="Rectangle 3"/>
        <xdr:cNvSpPr/>
      </xdr:nvSpPr>
      <xdr:spPr>
        <a:xfrm rot="5400000">
          <a:off x="7091680" y="7686040"/>
          <a:ext cx="6229985" cy="541020"/>
        </a:xfrm>
        <a:prstGeom prst="rect">
          <a:avLst/>
        </a:prstGeom>
        <a:noFill/>
      </xdr:spPr>
      <xdr:txBody>
        <a:bodyPr wrap="square" lIns="91440" tIns="45720" rIns="91440" bIns="45720">
          <a:noAutofit/>
        </a:bodyPr>
        <a:lstStyle/>
        <a:p>
          <a:pPr algn="ctr"/>
          <a:endParaRPr lang="en-US" sz="3200" b="1" cap="none" spc="50">
            <a:ln w="12700" cmpd="sng">
              <a:solidFill>
                <a:schemeClr val="accent6">
                  <a:satMod val="120000"/>
                  <a:shade val="80000"/>
                </a:schemeClr>
              </a:solidFill>
              <a:prstDash val="solid"/>
            </a:ln>
            <a:solidFill>
              <a:schemeClr val="accent6">
                <a:tint val="1000"/>
              </a:schemeClr>
            </a:solidFill>
            <a:effectLst>
              <a:glow rad="53100">
                <a:schemeClr val="accent6">
                  <a:satMod val="180000"/>
                  <a:alpha val="30000"/>
                </a:schemeClr>
              </a:glow>
            </a:effectLst>
          </a:endParaRPr>
        </a:p>
      </xdr:txBody>
    </xdr:sp>
    <xdr:clientData/>
  </xdr:oneCellAnchor>
  <xdr:twoCellAnchor editAs="oneCell">
    <xdr:from>
      <xdr:col>0</xdr:col>
      <xdr:colOff>9525</xdr:colOff>
      <xdr:row>0</xdr:row>
      <xdr:rowOff>76200</xdr:rowOff>
    </xdr:from>
    <xdr:to>
      <xdr:col>0</xdr:col>
      <xdr:colOff>1075055</xdr:colOff>
      <xdr:row>3</xdr:row>
      <xdr:rowOff>66040</xdr:rowOff>
    </xdr:to>
    <xdr:pic>
      <xdr:nvPicPr>
        <xdr:cNvPr id="5" name="Image 5" descr="PNG Logo"/>
        <xdr:cNvPicPr/>
      </xdr:nvPicPr>
      <xdr:blipFill>
        <a:blip r:embed="rId2" cstate="print">
          <a:extLst>
            <a:ext uri="{28A0092B-C50C-407E-A947-70E740481C1C}">
              <a14:useLocalDpi xmlns:a14="http://schemas.microsoft.com/office/drawing/2010/main" val="0"/>
            </a:ext>
          </a:extLst>
        </a:blip>
        <a:srcRect/>
        <a:stretch>
          <a:fillRect/>
        </a:stretch>
      </xdr:blipFill>
      <xdr:spPr>
        <a:xfrm>
          <a:off x="9525" y="76200"/>
          <a:ext cx="1065530" cy="951865"/>
        </a:xfrm>
        <a:prstGeom prst="rect">
          <a:avLst/>
        </a:prstGeom>
        <a:noFill/>
        <a:ln w="9525">
          <a:noFill/>
          <a:miter lim="800000"/>
          <a:headEnd/>
          <a:tailEnd/>
        </a:ln>
      </xdr:spPr>
    </xdr:pic>
    <xdr:clientData/>
  </xdr:twoCellAnchor>
  <xdr:twoCellAnchor editAs="oneCell">
    <xdr:from>
      <xdr:col>24</xdr:col>
      <xdr:colOff>313690</xdr:colOff>
      <xdr:row>0</xdr:row>
      <xdr:rowOff>113665</xdr:rowOff>
    </xdr:from>
    <xdr:to>
      <xdr:col>24</xdr:col>
      <xdr:colOff>1418590</xdr:colOff>
      <xdr:row>3</xdr:row>
      <xdr:rowOff>180975</xdr:rowOff>
    </xdr:to>
    <xdr:pic>
      <xdr:nvPicPr>
        <xdr:cNvPr id="6" name="Image 2" descr="DoW-Logo"/>
        <xdr:cNvPicPr/>
      </xdr:nvPicPr>
      <xdr:blipFill>
        <a:blip r:embed="rId3" cstate="print"/>
        <a:stretch>
          <a:fillRect/>
        </a:stretch>
      </xdr:blipFill>
      <xdr:spPr>
        <a:xfrm>
          <a:off x="18268315" y="113665"/>
          <a:ext cx="1104900" cy="102933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142240</xdr:rowOff>
    </xdr:from>
    <xdr:to>
      <xdr:col>0</xdr:col>
      <xdr:colOff>943610</xdr:colOff>
      <xdr:row>3</xdr:row>
      <xdr:rowOff>94615</xdr:rowOff>
    </xdr:to>
    <xdr:pic>
      <xdr:nvPicPr>
        <xdr:cNvPr id="2" name="Image 5" descr="PNG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635" y="142240"/>
          <a:ext cx="942975" cy="914400"/>
        </a:xfrm>
        <a:prstGeom prst="rect">
          <a:avLst/>
        </a:prstGeom>
        <a:noFill/>
        <a:ln w="9525">
          <a:noFill/>
          <a:miter lim="800000"/>
          <a:headEnd/>
          <a:tailEnd/>
        </a:ln>
      </xdr:spPr>
    </xdr:pic>
    <xdr:clientData/>
  </xdr:twoCellAnchor>
  <xdr:twoCellAnchor editAs="oneCell">
    <xdr:from>
      <xdr:col>12</xdr:col>
      <xdr:colOff>113665</xdr:colOff>
      <xdr:row>0</xdr:row>
      <xdr:rowOff>85090</xdr:rowOff>
    </xdr:from>
    <xdr:to>
      <xdr:col>12</xdr:col>
      <xdr:colOff>1218565</xdr:colOff>
      <xdr:row>3</xdr:row>
      <xdr:rowOff>152400</xdr:rowOff>
    </xdr:to>
    <xdr:pic>
      <xdr:nvPicPr>
        <xdr:cNvPr id="3" name="Image 2" descr="DoW-Logo"/>
        <xdr:cNvPicPr/>
      </xdr:nvPicPr>
      <xdr:blipFill>
        <a:blip r:embed="rId2" cstate="print"/>
        <a:stretch>
          <a:fillRect/>
        </a:stretch>
      </xdr:blipFill>
      <xdr:spPr>
        <a:xfrm>
          <a:off x="15858490" y="85090"/>
          <a:ext cx="1104900" cy="102933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142240</xdr:rowOff>
    </xdr:from>
    <xdr:to>
      <xdr:col>0</xdr:col>
      <xdr:colOff>1066800</xdr:colOff>
      <xdr:row>3</xdr:row>
      <xdr:rowOff>208915</xdr:rowOff>
    </xdr:to>
    <xdr:pic>
      <xdr:nvPicPr>
        <xdr:cNvPr id="2" name="Image 5" descr="PNG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9525" y="142240"/>
          <a:ext cx="1057275" cy="1028700"/>
        </a:xfrm>
        <a:prstGeom prst="rect">
          <a:avLst/>
        </a:prstGeom>
        <a:noFill/>
        <a:ln w="9525">
          <a:noFill/>
          <a:miter lim="800000"/>
          <a:headEnd/>
          <a:tailEnd/>
        </a:ln>
      </xdr:spPr>
    </xdr:pic>
    <xdr:clientData/>
  </xdr:twoCellAnchor>
  <xdr:twoCellAnchor editAs="oneCell">
    <xdr:from>
      <xdr:col>12</xdr:col>
      <xdr:colOff>294640</xdr:colOff>
      <xdr:row>0</xdr:row>
      <xdr:rowOff>66040</xdr:rowOff>
    </xdr:from>
    <xdr:to>
      <xdr:col>12</xdr:col>
      <xdr:colOff>1399540</xdr:colOff>
      <xdr:row>3</xdr:row>
      <xdr:rowOff>133350</xdr:rowOff>
    </xdr:to>
    <xdr:pic>
      <xdr:nvPicPr>
        <xdr:cNvPr id="3" name="Image 2" descr="DoW-Logo"/>
        <xdr:cNvPicPr/>
      </xdr:nvPicPr>
      <xdr:blipFill>
        <a:blip r:embed="rId2" cstate="print"/>
        <a:stretch>
          <a:fillRect/>
        </a:stretch>
      </xdr:blipFill>
      <xdr:spPr>
        <a:xfrm>
          <a:off x="14524990" y="66040"/>
          <a:ext cx="1104900" cy="1029335"/>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38735</xdr:colOff>
      <xdr:row>0</xdr:row>
      <xdr:rowOff>28575</xdr:rowOff>
    </xdr:from>
    <xdr:to>
      <xdr:col>0</xdr:col>
      <xdr:colOff>1123315</xdr:colOff>
      <xdr:row>3</xdr:row>
      <xdr:rowOff>189230</xdr:rowOff>
    </xdr:to>
    <xdr:pic>
      <xdr:nvPicPr>
        <xdr:cNvPr id="4" name="Image 5" descr="PNG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38735" y="28575"/>
          <a:ext cx="1084580" cy="1122680"/>
        </a:xfrm>
        <a:prstGeom prst="rect">
          <a:avLst/>
        </a:prstGeom>
        <a:noFill/>
        <a:ln w="9525">
          <a:noFill/>
          <a:miter lim="800000"/>
          <a:headEnd/>
          <a:tailEnd/>
        </a:ln>
      </xdr:spPr>
    </xdr:pic>
    <xdr:clientData/>
  </xdr:twoCellAnchor>
  <xdr:twoCellAnchor editAs="oneCell">
    <xdr:from>
      <xdr:col>13</xdr:col>
      <xdr:colOff>294640</xdr:colOff>
      <xdr:row>0</xdr:row>
      <xdr:rowOff>66040</xdr:rowOff>
    </xdr:from>
    <xdr:to>
      <xdr:col>13</xdr:col>
      <xdr:colOff>1399540</xdr:colOff>
      <xdr:row>3</xdr:row>
      <xdr:rowOff>133350</xdr:rowOff>
    </xdr:to>
    <xdr:pic>
      <xdr:nvPicPr>
        <xdr:cNvPr id="3" name="Image 2" descr="DoW-Logo"/>
        <xdr:cNvPicPr/>
      </xdr:nvPicPr>
      <xdr:blipFill>
        <a:blip r:embed="rId2" cstate="print"/>
        <a:stretch>
          <a:fillRect/>
        </a:stretch>
      </xdr:blipFill>
      <xdr:spPr>
        <a:xfrm>
          <a:off x="14905990" y="66040"/>
          <a:ext cx="1104900" cy="102933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14</xdr:col>
      <xdr:colOff>797719</xdr:colOff>
      <xdr:row>151</xdr:row>
      <xdr:rowOff>35718</xdr:rowOff>
    </xdr:from>
    <xdr:to>
      <xdr:col>14</xdr:col>
      <xdr:colOff>809625</xdr:colOff>
      <xdr:row>157</xdr:row>
      <xdr:rowOff>190500</xdr:rowOff>
    </xdr:to>
    <xdr:cxnSp>
      <xdr:nvCxnSpPr>
        <xdr:cNvPr id="2" name="Straight Arrow Connector 9"/>
        <xdr:cNvCxnSpPr/>
      </xdr:nvCxnSpPr>
      <xdr:spPr>
        <a:xfrm flipH="1">
          <a:off x="12008485" y="29915485"/>
          <a:ext cx="12065" cy="1297940"/>
        </a:xfrm>
        <a:prstGeom prst="straightConnector1">
          <a:avLst/>
        </a:prstGeom>
        <a:noFill/>
        <a:ln w="25400" cap="flat" cmpd="sng" algn="ctr">
          <a:solidFill>
            <a:srgbClr val="4F81BD"/>
          </a:solidFill>
          <a:prstDash val="solid"/>
          <a:tailEnd type="arrow"/>
        </a:ln>
        <a:effectLst>
          <a:outerShdw blurRad="40000" dist="20000" dir="5400000" rotWithShape="0">
            <a:srgbClr val="000000">
              <a:alpha val="38000"/>
            </a:srgbClr>
          </a:outerShdw>
        </a:effectLst>
      </xdr:spPr>
    </xdr:cxnSp>
    <xdr:clientData/>
  </xdr:twoCellAnchor>
  <xdr:twoCellAnchor>
    <xdr:from>
      <xdr:col>14</xdr:col>
      <xdr:colOff>785812</xdr:colOff>
      <xdr:row>142</xdr:row>
      <xdr:rowOff>59531</xdr:rowOff>
    </xdr:from>
    <xdr:to>
      <xdr:col>14</xdr:col>
      <xdr:colOff>785812</xdr:colOff>
      <xdr:row>147</xdr:row>
      <xdr:rowOff>190499</xdr:rowOff>
    </xdr:to>
    <xdr:cxnSp>
      <xdr:nvCxnSpPr>
        <xdr:cNvPr id="3" name="Straight Arrow Connector 12"/>
        <xdr:cNvCxnSpPr/>
      </xdr:nvCxnSpPr>
      <xdr:spPr>
        <a:xfrm flipV="1">
          <a:off x="11996420" y="28224480"/>
          <a:ext cx="0" cy="1083310"/>
        </a:xfrm>
        <a:prstGeom prst="straightConnector1">
          <a:avLst/>
        </a:prstGeom>
        <a:noFill/>
        <a:ln w="25400" cap="flat" cmpd="sng" algn="ctr">
          <a:solidFill>
            <a:srgbClr val="4F81BD"/>
          </a:solidFill>
          <a:prstDash val="solid"/>
          <a:tailEnd type="arrow"/>
        </a:ln>
        <a:effectLst>
          <a:outerShdw blurRad="40000" dist="20000" dir="5400000" rotWithShape="0">
            <a:srgbClr val="000000">
              <a:alpha val="38000"/>
            </a:srgbClr>
          </a:outerShdw>
        </a:effectLst>
      </xdr:spPr>
    </xdr:cxnSp>
    <xdr:clientData/>
  </xdr:twoCellAnchor>
  <xdr:twoCellAnchor>
    <xdr:from>
      <xdr:col>14</xdr:col>
      <xdr:colOff>845344</xdr:colOff>
      <xdr:row>197</xdr:row>
      <xdr:rowOff>107156</xdr:rowOff>
    </xdr:from>
    <xdr:to>
      <xdr:col>14</xdr:col>
      <xdr:colOff>857250</xdr:colOff>
      <xdr:row>204</xdr:row>
      <xdr:rowOff>130969</xdr:rowOff>
    </xdr:to>
    <xdr:cxnSp>
      <xdr:nvCxnSpPr>
        <xdr:cNvPr id="4" name="Straight Arrow Connector 17"/>
        <xdr:cNvCxnSpPr/>
      </xdr:nvCxnSpPr>
      <xdr:spPr>
        <a:xfrm flipH="1" flipV="1">
          <a:off x="12056110" y="39044880"/>
          <a:ext cx="12065" cy="1357630"/>
        </a:xfrm>
        <a:prstGeom prst="straightConnector1">
          <a:avLst/>
        </a:prstGeom>
        <a:noFill/>
        <a:ln w="25400" cap="flat" cmpd="sng" algn="ctr">
          <a:solidFill>
            <a:srgbClr val="4F81BD"/>
          </a:solidFill>
          <a:prstDash val="solid"/>
          <a:tailEnd type="arrow"/>
        </a:ln>
        <a:effectLst>
          <a:outerShdw blurRad="40000" dist="20000" dir="5400000" rotWithShape="0">
            <a:srgbClr val="000000">
              <a:alpha val="38000"/>
            </a:srgbClr>
          </a:outerShdw>
        </a:effectLst>
      </xdr:spPr>
    </xdr:cxnSp>
    <xdr:clientData/>
  </xdr:twoCellAnchor>
  <xdr:twoCellAnchor>
    <xdr:from>
      <xdr:col>14</xdr:col>
      <xdr:colOff>833437</xdr:colOff>
      <xdr:row>208</xdr:row>
      <xdr:rowOff>130969</xdr:rowOff>
    </xdr:from>
    <xdr:to>
      <xdr:col>14</xdr:col>
      <xdr:colOff>845344</xdr:colOff>
      <xdr:row>213</xdr:row>
      <xdr:rowOff>130969</xdr:rowOff>
    </xdr:to>
    <xdr:cxnSp>
      <xdr:nvCxnSpPr>
        <xdr:cNvPr id="5" name="Straight Arrow Connector 18"/>
        <xdr:cNvCxnSpPr/>
      </xdr:nvCxnSpPr>
      <xdr:spPr>
        <a:xfrm>
          <a:off x="12044045" y="41164510"/>
          <a:ext cx="12065" cy="952500"/>
        </a:xfrm>
        <a:prstGeom prst="straightConnector1">
          <a:avLst/>
        </a:prstGeom>
        <a:noFill/>
        <a:ln w="25400" cap="flat" cmpd="sng" algn="ctr">
          <a:solidFill>
            <a:srgbClr val="4F81BD"/>
          </a:solidFill>
          <a:prstDash val="solid"/>
          <a:tailEnd type="arrow"/>
        </a:ln>
        <a:effectLst>
          <a:outerShdw blurRad="40000" dist="20000" dir="5400000" rotWithShape="0">
            <a:srgbClr val="000000">
              <a:alpha val="38000"/>
            </a:srgbClr>
          </a:outerShdw>
        </a:effectLst>
      </xdr:spPr>
    </xdr:cxnSp>
    <xdr:clientData/>
  </xdr:twoCellAnchor>
  <xdr:twoCellAnchor>
    <xdr:from>
      <xdr:col>14</xdr:col>
      <xdr:colOff>838200</xdr:colOff>
      <xdr:row>168</xdr:row>
      <xdr:rowOff>180975</xdr:rowOff>
    </xdr:from>
    <xdr:to>
      <xdr:col>14</xdr:col>
      <xdr:colOff>840581</xdr:colOff>
      <xdr:row>171</xdr:row>
      <xdr:rowOff>123825</xdr:rowOff>
    </xdr:to>
    <xdr:cxnSp>
      <xdr:nvCxnSpPr>
        <xdr:cNvPr id="6" name="Straight Arrow Connector 6"/>
        <xdr:cNvCxnSpPr/>
      </xdr:nvCxnSpPr>
      <xdr:spPr>
        <a:xfrm flipH="1">
          <a:off x="12049125" y="33299400"/>
          <a:ext cx="1905" cy="514350"/>
        </a:xfrm>
        <a:prstGeom prst="straightConnector1">
          <a:avLst/>
        </a:prstGeom>
        <a:noFill/>
        <a:ln w="25400" cap="flat" cmpd="sng" algn="ctr">
          <a:solidFill>
            <a:srgbClr val="4F81BD"/>
          </a:solidFill>
          <a:prstDash val="solid"/>
          <a:tailEnd type="arrow"/>
        </a:ln>
        <a:effectLst>
          <a:outerShdw blurRad="40000" dist="20000" dir="5400000" rotWithShape="0">
            <a:srgbClr val="000000">
              <a:alpha val="38000"/>
            </a:srgbClr>
          </a:outerShdw>
        </a:effectLst>
      </xdr:spPr>
    </xdr:cxnSp>
    <xdr:clientData/>
  </xdr:twoCellAnchor>
  <xdr:twoCellAnchor>
    <xdr:from>
      <xdr:col>14</xdr:col>
      <xdr:colOff>850108</xdr:colOff>
      <xdr:row>163</xdr:row>
      <xdr:rowOff>76200</xdr:rowOff>
    </xdr:from>
    <xdr:to>
      <xdr:col>14</xdr:col>
      <xdr:colOff>866775</xdr:colOff>
      <xdr:row>166</xdr:row>
      <xdr:rowOff>66676</xdr:rowOff>
    </xdr:to>
    <xdr:cxnSp>
      <xdr:nvCxnSpPr>
        <xdr:cNvPr id="7" name="Straight Arrow Connector 10"/>
        <xdr:cNvCxnSpPr/>
      </xdr:nvCxnSpPr>
      <xdr:spPr>
        <a:xfrm flipV="1">
          <a:off x="12060555" y="32242125"/>
          <a:ext cx="17145" cy="561975"/>
        </a:xfrm>
        <a:prstGeom prst="straightConnector1">
          <a:avLst/>
        </a:prstGeom>
        <a:noFill/>
        <a:ln w="25400" cap="flat" cmpd="sng" algn="ctr">
          <a:solidFill>
            <a:srgbClr val="4F81BD"/>
          </a:solidFill>
          <a:prstDash val="solid"/>
          <a:tailEnd type="arrow"/>
        </a:ln>
        <a:effectLst>
          <a:outerShdw blurRad="40000" dist="20000" dir="5400000" rotWithShape="0">
            <a:srgbClr val="000000">
              <a:alpha val="38000"/>
            </a:srgbClr>
          </a:outerShdw>
        </a:effectLst>
      </xdr:spPr>
    </xdr:cxnSp>
    <xdr:clientData/>
  </xdr:twoCellAnchor>
  <xdr:twoCellAnchor editAs="oneCell">
    <xdr:from>
      <xdr:col>0</xdr:col>
      <xdr:colOff>38100</xdr:colOff>
      <xdr:row>0</xdr:row>
      <xdr:rowOff>29210</xdr:rowOff>
    </xdr:from>
    <xdr:to>
      <xdr:col>2</xdr:col>
      <xdr:colOff>351790</xdr:colOff>
      <xdr:row>5</xdr:row>
      <xdr:rowOff>209550</xdr:rowOff>
    </xdr:to>
    <xdr:pic>
      <xdr:nvPicPr>
        <xdr:cNvPr id="8" name="Image 5" descr="PNG Logo"/>
        <xdr:cNvPicPr/>
      </xdr:nvPicPr>
      <xdr:blipFill>
        <a:blip r:embed="rId1" cstate="print">
          <a:extLst>
            <a:ext uri="{28A0092B-C50C-407E-A947-70E740481C1C}">
              <a14:useLocalDpi xmlns:a14="http://schemas.microsoft.com/office/drawing/2010/main" val="0"/>
            </a:ext>
          </a:extLst>
        </a:blip>
        <a:srcRect/>
        <a:stretch>
          <a:fillRect/>
        </a:stretch>
      </xdr:blipFill>
      <xdr:spPr>
        <a:xfrm>
          <a:off x="38100" y="29210"/>
          <a:ext cx="1532890" cy="1323340"/>
        </a:xfrm>
        <a:prstGeom prst="rect">
          <a:avLst/>
        </a:prstGeom>
        <a:noFill/>
        <a:ln w="9525">
          <a:noFill/>
          <a:miter lim="800000"/>
          <a:headEnd/>
          <a:tailEnd/>
        </a:ln>
      </xdr:spPr>
    </xdr:pic>
    <xdr:clientData/>
  </xdr:twoCellAnchor>
  <xdr:twoCellAnchor editAs="oneCell">
    <xdr:from>
      <xdr:col>14</xdr:col>
      <xdr:colOff>323850</xdr:colOff>
      <xdr:row>0</xdr:row>
      <xdr:rowOff>66675</xdr:rowOff>
    </xdr:from>
    <xdr:to>
      <xdr:col>14</xdr:col>
      <xdr:colOff>1617980</xdr:colOff>
      <xdr:row>5</xdr:row>
      <xdr:rowOff>188595</xdr:rowOff>
    </xdr:to>
    <xdr:pic>
      <xdr:nvPicPr>
        <xdr:cNvPr id="9" name="Image 2" descr="DoW-Logo"/>
        <xdr:cNvPicPr/>
      </xdr:nvPicPr>
      <xdr:blipFill>
        <a:blip r:embed="rId2" cstate="print"/>
        <a:stretch>
          <a:fillRect/>
        </a:stretch>
      </xdr:blipFill>
      <xdr:spPr>
        <a:xfrm>
          <a:off x="11534775" y="66675"/>
          <a:ext cx="1294130" cy="126492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7"/>
  <sheetViews>
    <sheetView view="pageBreakPreview" zoomScaleNormal="100" topLeftCell="A2" workbookViewId="0">
      <selection activeCell="D13" sqref="D13"/>
    </sheetView>
  </sheetViews>
  <sheetFormatPr defaultColWidth="9" defaultRowHeight="15"/>
  <cols>
    <col min="1" max="1" width="16.5714285714286" customWidth="1"/>
    <col min="2" max="2" width="14.7142857142857" customWidth="1"/>
    <col min="3" max="3" width="12.4285714285714" customWidth="1"/>
    <col min="4" max="4" width="14.7142857142857" customWidth="1"/>
    <col min="5" max="5" width="24.4285714285714" customWidth="1"/>
    <col min="6" max="6" width="38.8571428571429" customWidth="1"/>
    <col min="7" max="7" width="25.2857142857143" customWidth="1"/>
    <col min="8" max="8" width="17.2857142857143" customWidth="1"/>
    <col min="9" max="9" width="4.85714285714286" customWidth="1"/>
    <col min="10" max="10" width="5.14285714285714" customWidth="1"/>
    <col min="11" max="11" width="5.42857142857143" customWidth="1"/>
    <col min="12" max="12" width="5.14285714285714" customWidth="1"/>
    <col min="13" max="14" width="5.28571428571429" customWidth="1"/>
    <col min="15" max="15" width="6.14285714285714" customWidth="1"/>
    <col min="16" max="16" width="6.57142857142857" customWidth="1"/>
    <col min="17" max="18" width="6" customWidth="1"/>
    <col min="19" max="19" width="5.57142857142857" customWidth="1"/>
    <col min="20" max="20" width="5.71428571428571" customWidth="1"/>
    <col min="21" max="21" width="6.28571428571429" customWidth="1"/>
    <col min="22" max="22" width="22.1428571428571" customWidth="1"/>
  </cols>
  <sheetData>
    <row r="1" ht="26.25" spans="1:28">
      <c r="A1" s="157"/>
      <c r="B1" s="158" t="s">
        <v>0</v>
      </c>
      <c r="C1" s="159"/>
      <c r="D1" s="159"/>
      <c r="E1" s="159"/>
      <c r="F1" s="159"/>
      <c r="G1" s="159"/>
      <c r="H1" s="159"/>
      <c r="I1" s="159"/>
      <c r="J1" s="159"/>
      <c r="K1" s="159"/>
      <c r="L1" s="159"/>
      <c r="M1" s="159"/>
      <c r="N1" s="159"/>
      <c r="O1" s="159"/>
      <c r="P1" s="159"/>
      <c r="Q1" s="159"/>
      <c r="R1" s="159"/>
      <c r="S1" s="159"/>
      <c r="T1" s="159"/>
      <c r="U1" s="284"/>
      <c r="V1" s="161"/>
    </row>
    <row r="2" ht="23.25" spans="1:28">
      <c r="A2" s="162"/>
      <c r="B2" s="163" t="s">
        <v>1</v>
      </c>
      <c r="C2" s="164"/>
      <c r="D2" s="164"/>
      <c r="E2" s="164"/>
      <c r="F2" s="164"/>
      <c r="G2" s="164"/>
      <c r="H2" s="164"/>
      <c r="I2" s="164"/>
      <c r="J2" s="164"/>
      <c r="K2" s="164"/>
      <c r="L2" s="164"/>
      <c r="M2" s="164"/>
      <c r="N2" s="164"/>
      <c r="O2" s="164"/>
      <c r="P2" s="164"/>
      <c r="Q2" s="164"/>
      <c r="R2" s="164"/>
      <c r="S2" s="164"/>
      <c r="T2" s="164"/>
      <c r="U2" s="285"/>
      <c r="V2" s="166"/>
    </row>
    <row r="3" ht="26.25" spans="1:28">
      <c r="A3" s="162"/>
      <c r="B3" s="167" t="s">
        <v>2</v>
      </c>
      <c r="C3" s="168"/>
      <c r="D3" s="168"/>
      <c r="E3" s="168"/>
      <c r="F3" s="168"/>
      <c r="G3" s="168"/>
      <c r="H3" s="168"/>
      <c r="I3" s="168"/>
      <c r="J3" s="168"/>
      <c r="K3" s="168"/>
      <c r="L3" s="168"/>
      <c r="M3" s="168"/>
      <c r="N3" s="168"/>
      <c r="O3" s="168"/>
      <c r="P3" s="168"/>
      <c r="Q3" s="168"/>
      <c r="R3" s="168"/>
      <c r="S3" s="168"/>
      <c r="T3" s="168"/>
      <c r="U3" s="286"/>
      <c r="V3" s="166"/>
    </row>
    <row r="4" ht="24" spans="1:28">
      <c r="A4" s="170"/>
      <c r="B4" s="171" t="s">
        <v>3</v>
      </c>
      <c r="C4" s="172"/>
      <c r="D4" s="172"/>
      <c r="E4" s="172"/>
      <c r="F4" s="172"/>
      <c r="G4" s="172"/>
      <c r="H4" s="172"/>
      <c r="I4" s="172"/>
      <c r="J4" s="172"/>
      <c r="K4" s="172"/>
      <c r="L4" s="172"/>
      <c r="M4" s="172"/>
      <c r="N4" s="172"/>
      <c r="O4" s="172"/>
      <c r="P4" s="172"/>
      <c r="Q4" s="172"/>
      <c r="R4" s="172"/>
      <c r="S4" s="172"/>
      <c r="T4" s="172"/>
      <c r="U4" s="287"/>
      <c r="V4" s="174"/>
    </row>
    <row r="5" ht="15.75" customHeight="1" spans="1:28">
      <c r="A5" s="175" t="s">
        <v>4</v>
      </c>
      <c r="B5" s="176" t="s">
        <v>5</v>
      </c>
      <c r="C5" s="176" t="s">
        <v>6</v>
      </c>
      <c r="D5" s="176" t="s">
        <v>7</v>
      </c>
      <c r="E5" s="177" t="s">
        <v>8</v>
      </c>
      <c r="F5" s="177" t="s">
        <v>9</v>
      </c>
      <c r="G5" s="177" t="s">
        <v>10</v>
      </c>
      <c r="H5" s="177" t="s">
        <v>11</v>
      </c>
      <c r="I5" s="288" t="s">
        <v>12</v>
      </c>
      <c r="J5" s="289"/>
      <c r="K5" s="289"/>
      <c r="L5" s="289"/>
      <c r="M5" s="289"/>
      <c r="N5" s="289"/>
      <c r="O5" s="289"/>
      <c r="P5" s="289"/>
      <c r="Q5" s="289"/>
      <c r="R5" s="289"/>
      <c r="S5" s="289"/>
      <c r="T5" s="289"/>
      <c r="U5" s="182"/>
      <c r="V5" s="180" t="s">
        <v>13</v>
      </c>
    </row>
    <row r="6" ht="15.75" customHeight="1" spans="1:28">
      <c r="A6" s="181"/>
      <c r="B6" s="182"/>
      <c r="C6" s="182"/>
      <c r="D6" s="182"/>
      <c r="E6" s="183"/>
      <c r="F6" s="183"/>
      <c r="G6" s="183"/>
      <c r="H6" s="183" t="s">
        <v>14</v>
      </c>
      <c r="I6" s="177" t="s">
        <v>15</v>
      </c>
      <c r="J6" s="293" t="s">
        <v>16</v>
      </c>
      <c r="K6" s="294"/>
      <c r="L6" s="294"/>
      <c r="M6" s="295"/>
      <c r="N6" s="576" t="s">
        <v>17</v>
      </c>
      <c r="O6" s="390" t="s">
        <v>18</v>
      </c>
      <c r="P6" s="393" t="s">
        <v>19</v>
      </c>
      <c r="Q6" s="577"/>
      <c r="R6" s="177" t="s">
        <v>20</v>
      </c>
      <c r="S6" s="390" t="s">
        <v>21</v>
      </c>
      <c r="T6" s="291" t="s">
        <v>22</v>
      </c>
      <c r="U6" s="387" t="s">
        <v>23</v>
      </c>
      <c r="V6" s="188"/>
    </row>
    <row r="7" s="385" customFormat="1" ht="15.75" customHeight="1" spans="1:28">
      <c r="A7" s="189"/>
      <c r="B7" s="190"/>
      <c r="C7" s="190"/>
      <c r="D7" s="190"/>
      <c r="E7" s="190"/>
      <c r="F7" s="190"/>
      <c r="G7" s="190"/>
      <c r="H7" s="191"/>
      <c r="I7" s="183"/>
      <c r="J7" s="203" t="s">
        <v>24</v>
      </c>
      <c r="K7" s="204" t="s">
        <v>25</v>
      </c>
      <c r="L7" s="204" t="s">
        <v>26</v>
      </c>
      <c r="M7" s="578" t="s">
        <v>27</v>
      </c>
      <c r="N7" s="579"/>
      <c r="O7" s="396"/>
      <c r="P7" s="580" t="s">
        <v>28</v>
      </c>
      <c r="Q7" s="580" t="s">
        <v>29</v>
      </c>
      <c r="R7" s="183"/>
      <c r="S7" s="396"/>
      <c r="T7" s="183"/>
      <c r="U7" s="387"/>
      <c r="V7" s="195"/>
    </row>
    <row r="8" s="385" customFormat="1" ht="16.5" customHeight="1" spans="1:28">
      <c r="A8" s="196" t="s">
        <v>30</v>
      </c>
      <c r="B8" s="197"/>
      <c r="C8" s="198">
        <v>45658</v>
      </c>
      <c r="D8" s="199" t="s">
        <v>31</v>
      </c>
      <c r="E8" s="199" t="s">
        <v>32</v>
      </c>
      <c r="F8" s="199" t="s">
        <v>33</v>
      </c>
      <c r="G8" s="199"/>
      <c r="H8" s="199" t="s">
        <v>34</v>
      </c>
      <c r="I8" s="199"/>
      <c r="J8" s="199"/>
      <c r="K8" s="199"/>
      <c r="L8" s="199"/>
      <c r="M8" s="199"/>
      <c r="N8" s="199"/>
      <c r="O8" s="199"/>
      <c r="P8" s="199"/>
      <c r="Q8" s="199"/>
      <c r="R8" s="199"/>
      <c r="S8" s="199"/>
      <c r="T8" s="199"/>
      <c r="U8" s="199"/>
      <c r="V8" s="201" t="s">
        <v>35</v>
      </c>
    </row>
    <row r="9" s="385" customFormat="1" ht="18" customHeight="1" spans="1:28">
      <c r="A9" s="196" t="s">
        <v>36</v>
      </c>
      <c r="B9" s="197"/>
      <c r="C9" s="202"/>
      <c r="D9" s="199"/>
      <c r="E9" s="199"/>
      <c r="F9" s="199"/>
      <c r="G9" s="199"/>
      <c r="H9" s="199"/>
      <c r="I9" s="199"/>
      <c r="J9" s="199"/>
      <c r="K9" s="199"/>
      <c r="L9" s="199"/>
      <c r="M9" s="199"/>
      <c r="N9" s="199"/>
      <c r="O9" s="199"/>
      <c r="P9" s="199"/>
      <c r="Q9" s="199"/>
      <c r="R9" s="199"/>
      <c r="S9" s="199"/>
      <c r="T9" s="199"/>
      <c r="U9" s="199"/>
      <c r="V9" s="201" t="s">
        <v>37</v>
      </c>
    </row>
    <row r="10" s="226" customFormat="1" ht="15.75" customHeight="1" spans="1:28">
      <c r="A10" s="196" t="s">
        <v>38</v>
      </c>
      <c r="B10" s="197"/>
      <c r="C10" s="202"/>
      <c r="D10" s="199"/>
      <c r="E10" s="199"/>
      <c r="F10" s="199"/>
      <c r="G10" s="199"/>
      <c r="H10" s="199"/>
      <c r="I10" s="199"/>
      <c r="J10" s="203"/>
      <c r="K10" s="204"/>
      <c r="L10" s="204"/>
      <c r="M10" s="204"/>
      <c r="N10" s="204"/>
      <c r="O10" s="397"/>
      <c r="P10" s="398"/>
      <c r="Q10" s="398"/>
      <c r="R10" s="399"/>
      <c r="S10" s="208"/>
      <c r="T10" s="401"/>
      <c r="U10" s="205"/>
      <c r="V10" s="207" t="s">
        <v>39</v>
      </c>
      <c r="W10" s="385"/>
      <c r="X10" s="385"/>
      <c r="Y10" s="385"/>
      <c r="Z10" s="385"/>
      <c r="AA10" s="385"/>
      <c r="AB10" s="385"/>
    </row>
    <row r="11" s="226" customFormat="1" ht="15.75" customHeight="1" spans="1:28">
      <c r="A11" s="196" t="s">
        <v>40</v>
      </c>
      <c r="B11" s="197"/>
      <c r="C11" s="202"/>
      <c r="D11" s="199"/>
      <c r="E11" s="199"/>
      <c r="F11" s="199"/>
      <c r="G11" s="199"/>
      <c r="H11" s="199"/>
      <c r="I11" s="208"/>
      <c r="J11" s="209"/>
      <c r="K11" s="210"/>
      <c r="L11" s="210"/>
      <c r="M11" s="210"/>
      <c r="N11" s="210"/>
      <c r="O11" s="208"/>
      <c r="P11" s="199"/>
      <c r="Q11" s="199"/>
      <c r="R11" s="399"/>
      <c r="S11" s="208"/>
      <c r="T11" s="401"/>
      <c r="U11" s="205"/>
      <c r="V11" s="212" t="s">
        <v>41</v>
      </c>
      <c r="W11" s="385"/>
      <c r="X11" s="385"/>
      <c r="Y11" s="385"/>
      <c r="Z11" s="385"/>
      <c r="AA11" s="385"/>
      <c r="AB11" s="385"/>
    </row>
    <row r="12" s="385" customFormat="1" ht="18.75" spans="1:28">
      <c r="A12" s="196" t="s">
        <v>42</v>
      </c>
      <c r="B12" s="197"/>
      <c r="C12" s="213"/>
      <c r="D12" s="199"/>
      <c r="E12" s="199"/>
      <c r="F12" s="199"/>
      <c r="G12" s="199"/>
      <c r="H12" s="214"/>
      <c r="I12" s="215"/>
      <c r="J12" s="216"/>
      <c r="K12" s="217"/>
      <c r="L12" s="217"/>
      <c r="M12" s="217"/>
      <c r="N12" s="217"/>
      <c r="O12" s="402"/>
      <c r="P12" s="403"/>
      <c r="Q12" s="403"/>
      <c r="R12" s="399"/>
      <c r="S12" s="404"/>
      <c r="T12" s="404"/>
      <c r="U12" s="218"/>
      <c r="V12" s="220" t="s">
        <v>43</v>
      </c>
    </row>
    <row r="13" s="385" customFormat="1" ht="18.75" spans="1:28">
      <c r="A13" s="196" t="s">
        <v>44</v>
      </c>
      <c r="B13" s="197"/>
      <c r="C13" s="213"/>
      <c r="D13" s="199"/>
      <c r="E13" s="199"/>
      <c r="F13" s="199"/>
      <c r="G13" s="199"/>
      <c r="H13" s="199"/>
      <c r="I13" s="208"/>
      <c r="J13" s="221"/>
      <c r="K13" s="210"/>
      <c r="L13" s="210"/>
      <c r="M13" s="210"/>
      <c r="N13" s="210"/>
      <c r="O13" s="405"/>
      <c r="P13" s="406"/>
      <c r="Q13" s="406"/>
      <c r="R13" s="399"/>
      <c r="S13" s="407"/>
      <c r="T13" s="408"/>
      <c r="U13" s="222"/>
      <c r="V13" s="224" t="s">
        <v>45</v>
      </c>
    </row>
    <row r="14" s="385" customFormat="1" ht="18.75" spans="1:28">
      <c r="A14" s="225" t="s">
        <v>46</v>
      </c>
      <c r="B14" s="197"/>
      <c r="C14" s="213"/>
      <c r="D14" s="199"/>
      <c r="E14" s="199"/>
      <c r="F14" s="199"/>
      <c r="G14" s="199"/>
      <c r="H14" s="199"/>
      <c r="I14" s="208"/>
      <c r="J14" s="221"/>
      <c r="K14" s="210"/>
      <c r="L14" s="210"/>
      <c r="M14" s="210"/>
      <c r="N14" s="210"/>
      <c r="O14" s="409"/>
      <c r="P14" s="410"/>
      <c r="Q14" s="410"/>
      <c r="R14" s="399"/>
      <c r="S14" s="411"/>
      <c r="T14" s="412"/>
      <c r="U14" s="226"/>
      <c r="V14" s="228" t="s">
        <v>47</v>
      </c>
    </row>
    <row r="15" s="385" customFormat="1" ht="15.75" spans="1:28">
      <c r="A15" s="225" t="s">
        <v>48</v>
      </c>
      <c r="B15" s="197"/>
      <c r="C15" s="213"/>
      <c r="D15" s="199"/>
      <c r="E15" s="199"/>
      <c r="F15" s="199"/>
      <c r="G15" s="199"/>
      <c r="H15" s="199"/>
      <c r="I15" s="208"/>
      <c r="J15" s="221"/>
      <c r="K15" s="229"/>
      <c r="L15" s="229"/>
      <c r="M15" s="229"/>
      <c r="N15" s="229"/>
      <c r="O15" s="409"/>
      <c r="P15" s="410"/>
      <c r="Q15" s="410"/>
      <c r="R15" s="399"/>
      <c r="S15" s="226"/>
      <c r="T15" s="226"/>
      <c r="U15" s="226"/>
      <c r="V15" s="228"/>
    </row>
    <row r="16" s="385" customFormat="1" ht="15.75" spans="1:28">
      <c r="A16" s="225" t="s">
        <v>49</v>
      </c>
      <c r="B16" s="197"/>
      <c r="C16" s="213"/>
      <c r="D16" s="199"/>
      <c r="E16" s="199"/>
      <c r="F16" s="199"/>
      <c r="G16" s="199"/>
      <c r="H16" s="199"/>
      <c r="I16" s="208"/>
      <c r="J16" s="221"/>
      <c r="K16" s="229"/>
      <c r="L16" s="229"/>
      <c r="M16" s="229"/>
      <c r="N16" s="229"/>
      <c r="O16" s="409"/>
      <c r="P16" s="410"/>
      <c r="Q16" s="410"/>
      <c r="R16" s="399"/>
      <c r="S16" s="226"/>
      <c r="T16" s="226"/>
      <c r="U16" s="226"/>
      <c r="V16" s="228"/>
    </row>
    <row r="17" ht="15.75" spans="1:28">
      <c r="A17" s="225"/>
      <c r="B17" s="197"/>
      <c r="C17" s="213"/>
      <c r="D17" s="199"/>
      <c r="E17" s="199"/>
      <c r="F17" s="199"/>
      <c r="G17" s="199"/>
      <c r="H17" s="199"/>
      <c r="I17" s="208"/>
      <c r="J17" s="221"/>
      <c r="K17" s="229"/>
      <c r="L17" s="229"/>
      <c r="M17" s="229"/>
      <c r="N17" s="229"/>
      <c r="O17" s="409"/>
      <c r="P17" s="410"/>
      <c r="Q17" s="410"/>
      <c r="R17" s="399"/>
      <c r="S17" s="226"/>
      <c r="T17" s="226"/>
      <c r="U17" s="226"/>
      <c r="V17" s="234" t="s">
        <v>50</v>
      </c>
    </row>
    <row r="18" ht="15.75" spans="1:28">
      <c r="A18" s="225"/>
      <c r="B18" s="197"/>
      <c r="C18" s="213"/>
      <c r="D18" s="199"/>
      <c r="E18" s="199"/>
      <c r="F18" s="199"/>
      <c r="G18" s="581"/>
      <c r="H18" s="581"/>
      <c r="I18" s="581"/>
      <c r="J18" s="582"/>
      <c r="K18" s="583"/>
      <c r="L18" s="583"/>
      <c r="M18" s="583"/>
      <c r="N18" s="583"/>
      <c r="O18" s="298"/>
      <c r="P18" s="498"/>
      <c r="Q18" s="498"/>
      <c r="R18" s="399"/>
      <c r="S18" s="226"/>
      <c r="T18" s="226"/>
      <c r="U18" s="226"/>
      <c r="V18" s="242" t="s">
        <v>51</v>
      </c>
    </row>
    <row r="19" s="385" customFormat="1" ht="15.75" spans="1:28">
      <c r="A19" s="225"/>
      <c r="B19" s="197"/>
      <c r="C19" s="213"/>
      <c r="D19" s="199"/>
      <c r="E19" s="199"/>
      <c r="F19" s="199"/>
      <c r="G19" s="199"/>
      <c r="H19" s="199"/>
      <c r="I19" s="208"/>
      <c r="J19" s="221"/>
      <c r="K19" s="229"/>
      <c r="L19" s="229"/>
      <c r="M19" s="229"/>
      <c r="N19" s="229"/>
      <c r="O19" s="409"/>
      <c r="P19" s="410"/>
      <c r="Q19" s="410"/>
      <c r="R19" s="399"/>
      <c r="S19" s="226"/>
      <c r="T19" s="226"/>
      <c r="U19" s="226"/>
      <c r="V19" s="250" t="s">
        <v>52</v>
      </c>
      <c r="W19"/>
      <c r="X19"/>
      <c r="Y19"/>
      <c r="Z19"/>
      <c r="AA19"/>
      <c r="AB19"/>
    </row>
    <row r="20" ht="15.75" spans="1:28">
      <c r="A20" s="225"/>
      <c r="B20" s="197"/>
      <c r="C20" s="213"/>
      <c r="D20" s="199"/>
      <c r="E20" s="199"/>
      <c r="F20" s="199"/>
      <c r="G20" s="199"/>
      <c r="H20" s="199"/>
      <c r="I20" s="208"/>
      <c r="J20" s="221"/>
      <c r="K20" s="229"/>
      <c r="L20" s="229"/>
      <c r="M20" s="229"/>
      <c r="N20" s="229"/>
      <c r="O20" s="409"/>
      <c r="P20" s="410"/>
      <c r="Q20" s="410"/>
      <c r="R20" s="399"/>
      <c r="S20" s="226"/>
      <c r="T20" s="226"/>
      <c r="U20" s="226"/>
      <c r="V20" s="234" t="s">
        <v>53</v>
      </c>
    </row>
    <row r="21" customFormat="1" ht="15.75" spans="1:28">
      <c r="A21" s="225"/>
      <c r="B21" s="197"/>
      <c r="C21" s="213"/>
      <c r="D21" s="199"/>
      <c r="E21" s="199"/>
      <c r="F21" s="199"/>
      <c r="G21" s="199"/>
      <c r="H21" s="199"/>
      <c r="I21" s="208"/>
      <c r="J21" s="221"/>
      <c r="K21" s="229"/>
      <c r="L21" s="229"/>
      <c r="M21" s="229"/>
      <c r="N21" s="229"/>
      <c r="O21" s="409"/>
      <c r="P21" s="410"/>
      <c r="Q21" s="410"/>
      <c r="R21" s="399"/>
      <c r="S21" s="226"/>
      <c r="T21" s="226"/>
      <c r="U21" s="226"/>
      <c r="V21" s="234" t="s">
        <v>54</v>
      </c>
    </row>
    <row r="22" s="385" customFormat="1" ht="15.75" spans="1:28">
      <c r="A22" s="584"/>
      <c r="B22" s="197"/>
      <c r="C22" s="585"/>
      <c r="D22" s="247"/>
      <c r="E22" s="586"/>
      <c r="F22" s="586"/>
      <c r="G22" s="586"/>
      <c r="H22" s="586"/>
      <c r="I22" s="587"/>
      <c r="J22" s="588"/>
      <c r="K22" s="589"/>
      <c r="L22" s="589"/>
      <c r="M22" s="589"/>
      <c r="N22" s="589"/>
      <c r="O22" s="590"/>
      <c r="P22" s="591"/>
      <c r="Q22" s="591"/>
      <c r="R22" s="592"/>
      <c r="S22" s="593"/>
      <c r="T22" s="593"/>
      <c r="U22" s="593"/>
      <c r="V22" s="234" t="s">
        <v>55</v>
      </c>
    </row>
    <row r="23" ht="15.75" spans="1:28">
      <c r="A23" s="225"/>
      <c r="B23" s="197"/>
      <c r="C23" s="213"/>
      <c r="D23" s="199"/>
      <c r="E23" s="199"/>
      <c r="F23" s="199"/>
      <c r="G23" s="199"/>
      <c r="H23" s="199"/>
      <c r="I23" s="208"/>
      <c r="J23" s="582"/>
      <c r="K23" s="583"/>
      <c r="L23" s="583"/>
      <c r="M23" s="583"/>
      <c r="N23" s="583"/>
      <c r="O23" s="298"/>
      <c r="P23" s="498"/>
      <c r="Q23" s="498"/>
      <c r="R23" s="399"/>
      <c r="S23" s="298"/>
      <c r="T23" s="298"/>
      <c r="U23" s="298"/>
      <c r="V23" s="594"/>
    </row>
    <row r="24" ht="15.75" spans="1:28">
      <c r="A24" s="225"/>
      <c r="B24" s="197"/>
      <c r="C24" s="213"/>
      <c r="D24" s="199"/>
      <c r="E24" s="199"/>
      <c r="F24" s="199"/>
      <c r="G24" s="199"/>
      <c r="H24" s="199"/>
      <c r="I24" s="208"/>
      <c r="J24" s="582"/>
      <c r="K24" s="583"/>
      <c r="L24" s="583"/>
      <c r="M24" s="583"/>
      <c r="N24" s="583"/>
      <c r="O24" s="298"/>
      <c r="P24" s="498"/>
      <c r="Q24" s="498"/>
      <c r="R24" s="399"/>
      <c r="S24" s="298"/>
      <c r="T24" s="298"/>
      <c r="U24" s="298"/>
      <c r="V24" s="594"/>
    </row>
    <row r="25" ht="15.75" spans="1:28">
      <c r="A25" s="225"/>
      <c r="B25" s="197"/>
      <c r="C25" s="213"/>
      <c r="D25" s="199"/>
      <c r="E25" s="199"/>
      <c r="F25" s="199"/>
      <c r="G25" s="199"/>
      <c r="H25" s="199"/>
      <c r="I25" s="208"/>
      <c r="J25" s="582"/>
      <c r="K25" s="583"/>
      <c r="L25" s="583"/>
      <c r="M25" s="583"/>
      <c r="N25" s="583"/>
      <c r="O25" s="298"/>
      <c r="P25" s="498"/>
      <c r="Q25" s="498"/>
      <c r="R25" s="399"/>
      <c r="S25" s="298"/>
      <c r="T25" s="298"/>
      <c r="U25" s="298"/>
      <c r="V25" s="594"/>
    </row>
    <row r="26" ht="15.75" spans="1:28">
      <c r="A26" s="225"/>
      <c r="B26" s="197"/>
      <c r="C26" s="213"/>
      <c r="D26" s="199"/>
      <c r="E26" s="199"/>
      <c r="F26" s="199"/>
      <c r="G26" s="199"/>
      <c r="H26" s="199"/>
      <c r="I26" s="208"/>
      <c r="J26" s="582"/>
      <c r="K26" s="583"/>
      <c r="L26" s="583"/>
      <c r="M26" s="583"/>
      <c r="N26" s="583"/>
      <c r="O26" s="298"/>
      <c r="P26" s="498"/>
      <c r="Q26" s="498"/>
      <c r="R26" s="399"/>
      <c r="S26" s="298"/>
      <c r="T26" s="298"/>
      <c r="U26" s="298"/>
      <c r="V26" s="594"/>
    </row>
    <row r="27" ht="15.75" spans="1:28">
      <c r="A27" s="225"/>
      <c r="B27" s="197"/>
      <c r="C27" s="213"/>
      <c r="D27" s="199"/>
      <c r="E27" s="199"/>
      <c r="F27" s="199"/>
      <c r="G27" s="199"/>
      <c r="H27" s="199"/>
      <c r="I27" s="208"/>
      <c r="J27" s="582"/>
      <c r="K27" s="583"/>
      <c r="L27" s="583"/>
      <c r="M27" s="583"/>
      <c r="N27" s="583"/>
      <c r="O27" s="298"/>
      <c r="P27" s="498"/>
      <c r="Q27" s="498"/>
      <c r="R27" s="399"/>
      <c r="S27" s="298"/>
      <c r="T27" s="298"/>
      <c r="U27" s="298"/>
      <c r="V27" s="594"/>
    </row>
    <row r="28" ht="15.75" spans="1:28">
      <c r="A28" s="584"/>
      <c r="B28" s="197"/>
      <c r="C28" s="585"/>
      <c r="D28" s="247"/>
      <c r="E28" s="586"/>
      <c r="F28" s="586"/>
      <c r="G28" s="586"/>
      <c r="H28" s="586"/>
      <c r="I28" s="587"/>
      <c r="J28" s="588"/>
      <c r="K28" s="589"/>
      <c r="L28" s="589"/>
      <c r="M28" s="589"/>
      <c r="N28" s="589"/>
      <c r="O28" s="593"/>
      <c r="P28" s="595"/>
      <c r="Q28" s="595"/>
      <c r="R28" s="592"/>
      <c r="S28" s="593"/>
      <c r="T28" s="593"/>
      <c r="U28" s="593"/>
      <c r="V28" s="596"/>
    </row>
    <row r="29" ht="15.75" spans="1:28">
      <c r="A29" s="584"/>
      <c r="B29" s="197"/>
      <c r="C29" s="585"/>
      <c r="D29" s="247"/>
      <c r="E29" s="586"/>
      <c r="F29" s="586"/>
      <c r="G29" s="586"/>
      <c r="H29" s="586"/>
      <c r="I29" s="587"/>
      <c r="J29" s="588"/>
      <c r="K29" s="589"/>
      <c r="L29" s="589"/>
      <c r="M29" s="589"/>
      <c r="N29" s="589"/>
      <c r="O29" s="593"/>
      <c r="P29" s="595"/>
      <c r="Q29" s="595"/>
      <c r="R29" s="592"/>
      <c r="S29" s="593"/>
      <c r="T29" s="593"/>
      <c r="U29" s="593"/>
      <c r="V29" s="596"/>
    </row>
    <row r="30" ht="15.75" spans="1:28">
      <c r="A30" s="597"/>
      <c r="B30" s="197"/>
      <c r="C30" s="213"/>
      <c r="D30" s="199"/>
      <c r="E30" s="199"/>
      <c r="F30" s="199"/>
      <c r="G30" s="199"/>
      <c r="H30" s="199"/>
      <c r="I30" s="208"/>
      <c r="J30" s="582"/>
      <c r="K30" s="583"/>
      <c r="L30" s="583"/>
      <c r="M30" s="583"/>
      <c r="N30" s="583"/>
      <c r="O30" s="298"/>
      <c r="P30" s="498"/>
      <c r="Q30" s="498"/>
      <c r="R30" s="399"/>
      <c r="S30" s="298"/>
      <c r="T30" s="298"/>
      <c r="U30" s="298"/>
      <c r="V30" s="594"/>
    </row>
    <row r="31" ht="15.75" spans="1:28">
      <c r="A31" s="598"/>
      <c r="B31" s="197"/>
      <c r="C31" s="213"/>
      <c r="D31" s="199"/>
      <c r="E31" s="199"/>
      <c r="F31" s="199"/>
      <c r="G31" s="199"/>
      <c r="H31" s="247"/>
      <c r="I31" s="239"/>
      <c r="J31" s="582"/>
      <c r="K31" s="583"/>
      <c r="L31" s="583"/>
      <c r="M31" s="583"/>
      <c r="N31" s="583"/>
      <c r="O31" s="298"/>
      <c r="P31" s="498"/>
      <c r="Q31" s="498"/>
      <c r="R31" s="399"/>
      <c r="S31" s="298"/>
      <c r="T31" s="298"/>
      <c r="U31" s="298"/>
      <c r="V31" s="594"/>
    </row>
    <row r="32" ht="15.75" spans="1:28">
      <c r="A32" s="598"/>
      <c r="B32" s="599"/>
      <c r="C32" s="600"/>
      <c r="D32" s="199"/>
      <c r="E32" s="199"/>
      <c r="F32" s="199"/>
      <c r="G32" s="199"/>
      <c r="H32" s="199"/>
      <c r="I32" s="208"/>
      <c r="J32" s="582"/>
      <c r="K32" s="583"/>
      <c r="L32" s="583"/>
      <c r="M32" s="583"/>
      <c r="N32" s="583"/>
      <c r="O32" s="298"/>
      <c r="P32" s="498"/>
      <c r="Q32" s="498"/>
      <c r="R32" s="399"/>
      <c r="S32" s="298"/>
      <c r="T32" s="298"/>
      <c r="U32" s="298"/>
      <c r="V32" s="594"/>
    </row>
    <row r="33" ht="15.75" spans="1:23">
      <c r="A33" s="598"/>
      <c r="B33" s="599"/>
      <c r="C33" s="600"/>
      <c r="D33" s="199"/>
      <c r="E33" s="199"/>
      <c r="F33" s="199"/>
      <c r="G33" s="199"/>
      <c r="H33" s="199"/>
      <c r="I33" s="208"/>
      <c r="J33" s="582"/>
      <c r="K33" s="583"/>
      <c r="L33" s="583"/>
      <c r="M33" s="583"/>
      <c r="N33" s="583"/>
      <c r="O33" s="298"/>
      <c r="P33" s="498"/>
      <c r="Q33" s="498"/>
      <c r="R33" s="399"/>
      <c r="S33" s="298"/>
      <c r="T33" s="298"/>
      <c r="U33" s="298"/>
      <c r="V33" s="594"/>
    </row>
    <row r="34" ht="15.75" spans="1:23">
      <c r="A34" s="598"/>
      <c r="B34" s="599"/>
      <c r="C34" s="600"/>
      <c r="D34" s="199"/>
      <c r="E34" s="199"/>
      <c r="F34" s="199"/>
      <c r="G34" s="199"/>
      <c r="H34" s="199"/>
      <c r="I34" s="208"/>
      <c r="J34" s="582"/>
      <c r="K34" s="583"/>
      <c r="L34" s="583"/>
      <c r="M34" s="583"/>
      <c r="N34" s="583"/>
      <c r="O34" s="298"/>
      <c r="P34" s="498"/>
      <c r="Q34" s="498"/>
      <c r="R34" s="399"/>
      <c r="S34" s="298"/>
      <c r="T34" s="298"/>
      <c r="U34" s="298"/>
      <c r="V34" s="594"/>
    </row>
    <row r="35" ht="15.75" spans="1:23">
      <c r="A35" s="598"/>
      <c r="B35" s="599"/>
      <c r="C35" s="600"/>
      <c r="D35" s="199"/>
      <c r="E35" s="199"/>
      <c r="F35" s="199"/>
      <c r="G35" s="199"/>
      <c r="H35" s="199"/>
      <c r="I35" s="208"/>
      <c r="J35" s="582"/>
      <c r="K35" s="583"/>
      <c r="L35" s="583"/>
      <c r="M35" s="583"/>
      <c r="N35" s="583"/>
      <c r="O35" s="298"/>
      <c r="P35" s="498"/>
      <c r="Q35" s="498"/>
      <c r="R35" s="399"/>
      <c r="S35" s="298"/>
      <c r="T35" s="298"/>
      <c r="U35" s="298"/>
      <c r="V35" s="594"/>
    </row>
    <row r="36" ht="15.75" spans="1:23">
      <c r="A36" s="598"/>
      <c r="B36" s="599"/>
      <c r="C36" s="600"/>
      <c r="D36" s="199"/>
      <c r="E36" s="199"/>
      <c r="F36" s="199"/>
      <c r="G36" s="199"/>
      <c r="H36" s="199"/>
      <c r="I36" s="208"/>
      <c r="J36" s="582"/>
      <c r="K36" s="583"/>
      <c r="L36" s="583"/>
      <c r="M36" s="583"/>
      <c r="N36" s="583"/>
      <c r="O36" s="298"/>
      <c r="P36" s="498"/>
      <c r="Q36" s="498"/>
      <c r="R36" s="399"/>
      <c r="S36" s="298"/>
      <c r="T36" s="298"/>
      <c r="U36" s="298"/>
      <c r="V36" s="594"/>
    </row>
    <row r="37" ht="15.75" spans="1:23">
      <c r="A37" s="598"/>
      <c r="B37" s="599"/>
      <c r="C37" s="600"/>
      <c r="D37" s="199"/>
      <c r="E37" s="199"/>
      <c r="F37" s="199"/>
      <c r="G37" s="199"/>
      <c r="H37" s="199"/>
      <c r="I37" s="208"/>
      <c r="J37" s="582"/>
      <c r="K37" s="583"/>
      <c r="L37" s="583"/>
      <c r="M37" s="583"/>
      <c r="N37" s="583"/>
      <c r="O37" s="298"/>
      <c r="P37" s="498"/>
      <c r="Q37" s="498"/>
      <c r="R37" s="399"/>
      <c r="S37" s="298"/>
      <c r="T37" s="298"/>
      <c r="U37" s="298"/>
      <c r="V37" s="594"/>
    </row>
    <row r="38" ht="15.75" spans="1:23">
      <c r="A38" s="598"/>
      <c r="B38" s="599"/>
      <c r="C38" s="600"/>
      <c r="D38" s="199"/>
      <c r="E38" s="199"/>
      <c r="F38" s="199"/>
      <c r="G38" s="199"/>
      <c r="H38" s="199"/>
      <c r="I38" s="208"/>
      <c r="J38" s="582"/>
      <c r="K38" s="583"/>
      <c r="L38" s="583"/>
      <c r="M38" s="583"/>
      <c r="N38" s="583"/>
      <c r="O38" s="298"/>
      <c r="P38" s="498"/>
      <c r="Q38" s="498"/>
      <c r="R38" s="399"/>
      <c r="S38" s="298"/>
      <c r="T38" s="298"/>
      <c r="U38" s="298"/>
      <c r="V38" s="594"/>
    </row>
    <row r="39" spans="1:23">
      <c r="A39" s="276"/>
      <c r="B39" s="601"/>
      <c r="C39" s="226"/>
      <c r="D39" s="298"/>
      <c r="E39" s="298"/>
      <c r="F39" s="226"/>
      <c r="G39" s="226"/>
      <c r="H39" s="226"/>
      <c r="I39" s="226"/>
      <c r="J39" s="602"/>
      <c r="K39" s="603"/>
      <c r="L39" s="603"/>
      <c r="M39" s="603"/>
      <c r="N39" s="603"/>
      <c r="O39" s="298"/>
      <c r="P39" s="298"/>
      <c r="Q39" s="298"/>
      <c r="R39" s="298"/>
      <c r="S39" s="298"/>
      <c r="T39" s="298"/>
      <c r="U39" s="298"/>
      <c r="V39" s="594"/>
    </row>
    <row r="40" spans="1:23">
      <c r="A40" s="276"/>
      <c r="B40" s="601"/>
      <c r="C40" s="226"/>
      <c r="D40" s="298"/>
      <c r="E40" s="298"/>
      <c r="F40" s="298"/>
      <c r="G40" s="298"/>
      <c r="H40" s="298"/>
      <c r="I40" s="298"/>
      <c r="J40" s="604"/>
      <c r="K40" s="253"/>
      <c r="L40" s="253"/>
      <c r="M40" s="253"/>
      <c r="N40" s="253"/>
      <c r="O40" s="298"/>
      <c r="P40" s="298"/>
      <c r="Q40" s="298"/>
      <c r="R40" s="298"/>
      <c r="S40" s="298"/>
      <c r="T40" s="298"/>
      <c r="U40" s="298"/>
      <c r="V40" s="594"/>
    </row>
    <row r="41" spans="1:23">
      <c r="A41" s="276"/>
      <c r="B41" s="601"/>
      <c r="C41" s="226"/>
      <c r="D41" s="298"/>
      <c r="E41" s="298"/>
      <c r="F41" s="298"/>
      <c r="G41" s="298"/>
      <c r="H41" s="226"/>
      <c r="I41" s="226"/>
      <c r="J41" s="226"/>
      <c r="K41" s="253"/>
      <c r="L41" s="253"/>
      <c r="M41" s="253"/>
      <c r="N41" s="253"/>
      <c r="O41" s="298"/>
      <c r="P41" s="298"/>
      <c r="Q41" s="298"/>
      <c r="R41" s="298"/>
      <c r="S41" s="298"/>
      <c r="T41" s="298"/>
      <c r="U41" s="298"/>
      <c r="V41" s="594"/>
    </row>
    <row r="42" spans="1:23">
      <c r="A42" s="276"/>
      <c r="B42" s="601"/>
      <c r="C42" s="226"/>
      <c r="D42" s="298"/>
      <c r="E42" s="298"/>
      <c r="F42" s="226"/>
      <c r="G42" s="226"/>
      <c r="H42" s="226"/>
      <c r="I42" s="226"/>
      <c r="J42" s="605"/>
      <c r="K42" s="253"/>
      <c r="L42" s="253"/>
      <c r="M42" s="253"/>
      <c r="N42" s="253"/>
      <c r="O42" s="298"/>
      <c r="P42" s="298"/>
      <c r="Q42" s="298"/>
      <c r="R42" s="298"/>
      <c r="S42" s="298"/>
      <c r="T42" s="298"/>
      <c r="U42" s="298"/>
      <c r="V42" s="594"/>
    </row>
    <row r="43" spans="1:23">
      <c r="A43" s="276"/>
      <c r="B43" s="601"/>
      <c r="C43" s="226"/>
      <c r="D43" s="298"/>
      <c r="E43" s="298"/>
      <c r="F43" s="226"/>
      <c r="G43" s="226"/>
      <c r="H43" s="226"/>
      <c r="I43" s="226"/>
      <c r="J43" s="604"/>
      <c r="K43" s="253"/>
      <c r="L43" s="253"/>
      <c r="M43" s="253"/>
      <c r="N43" s="253"/>
      <c r="O43" s="298"/>
      <c r="P43" s="298"/>
      <c r="Q43" s="298"/>
      <c r="R43" s="298"/>
      <c r="S43" s="298"/>
      <c r="T43" s="298"/>
      <c r="U43" s="298"/>
      <c r="V43" s="594"/>
    </row>
    <row r="44" spans="1:23">
      <c r="A44" s="276"/>
      <c r="B44" s="601"/>
      <c r="C44" s="226"/>
      <c r="D44" s="298"/>
      <c r="E44" s="298"/>
      <c r="F44" s="226"/>
      <c r="G44" s="226"/>
      <c r="H44" s="226"/>
      <c r="I44" s="226"/>
      <c r="J44" s="606"/>
      <c r="K44" s="298"/>
      <c r="L44" s="298"/>
      <c r="M44" s="298"/>
      <c r="N44" s="298"/>
      <c r="O44" s="298"/>
      <c r="P44" s="298"/>
      <c r="Q44" s="298"/>
      <c r="R44" s="298"/>
      <c r="S44" s="298"/>
      <c r="T44" s="298"/>
      <c r="U44" s="298"/>
      <c r="V44" s="594"/>
    </row>
    <row r="45" spans="1:23">
      <c r="A45" s="607"/>
      <c r="B45" s="608"/>
      <c r="C45" s="609"/>
      <c r="D45" s="508"/>
      <c r="E45" s="610"/>
      <c r="F45" s="226"/>
      <c r="G45" s="226"/>
      <c r="H45" s="226"/>
      <c r="I45" s="226"/>
      <c r="J45" s="226"/>
      <c r="K45" s="298"/>
      <c r="L45" s="298"/>
      <c r="M45" s="298"/>
      <c r="N45" s="298"/>
      <c r="O45" s="298"/>
      <c r="P45" s="298"/>
      <c r="Q45" s="298"/>
      <c r="R45" s="298"/>
      <c r="S45" s="298"/>
      <c r="T45" s="298"/>
      <c r="U45" s="298"/>
      <c r="V45" s="594"/>
      <c r="W45" s="611"/>
    </row>
    <row r="46" spans="1:23">
      <c r="A46" s="607"/>
      <c r="B46" s="608"/>
      <c r="C46" s="609"/>
      <c r="D46" s="508"/>
      <c r="E46" s="610"/>
      <c r="F46" s="226"/>
      <c r="G46" s="226"/>
      <c r="H46" s="298"/>
      <c r="I46" s="298"/>
      <c r="J46" s="226"/>
      <c r="K46" s="298"/>
      <c r="L46" s="298"/>
      <c r="M46" s="298"/>
      <c r="N46" s="298"/>
      <c r="O46" s="298"/>
      <c r="P46" s="298"/>
      <c r="Q46" s="298"/>
      <c r="R46" s="298"/>
      <c r="S46" s="298"/>
      <c r="T46" s="298"/>
      <c r="U46" s="298"/>
      <c r="V46" s="594"/>
      <c r="W46" s="611"/>
    </row>
    <row r="47" spans="1:23">
      <c r="A47" s="607"/>
      <c r="B47" s="608"/>
      <c r="C47" s="609"/>
      <c r="D47" s="508"/>
      <c r="E47" s="610"/>
      <c r="F47" s="226"/>
      <c r="G47" s="226"/>
      <c r="H47" s="226"/>
      <c r="I47" s="226"/>
      <c r="J47" s="226"/>
      <c r="K47" s="298"/>
      <c r="L47" s="298"/>
      <c r="M47" s="298"/>
      <c r="N47" s="298"/>
      <c r="O47" s="298"/>
      <c r="P47" s="298"/>
      <c r="Q47" s="298"/>
      <c r="R47" s="298"/>
      <c r="S47" s="298"/>
      <c r="T47" s="298"/>
      <c r="U47" s="298"/>
      <c r="V47" s="594"/>
      <c r="W47" s="611"/>
    </row>
    <row r="48" spans="1:23">
      <c r="A48" s="607"/>
      <c r="B48" s="608"/>
      <c r="C48" s="609"/>
      <c r="D48" s="508"/>
      <c r="E48" s="610"/>
      <c r="F48" s="226"/>
      <c r="G48" s="226"/>
      <c r="H48" s="298"/>
      <c r="I48" s="298"/>
      <c r="J48" s="226"/>
      <c r="K48" s="298"/>
      <c r="L48" s="298"/>
      <c r="M48" s="298"/>
      <c r="N48" s="298"/>
      <c r="O48" s="298"/>
      <c r="P48" s="298"/>
      <c r="Q48" s="298"/>
      <c r="R48" s="298"/>
      <c r="S48" s="298"/>
      <c r="T48" s="298"/>
      <c r="U48" s="298"/>
      <c r="V48" s="594"/>
      <c r="W48" s="611"/>
    </row>
    <row r="49" spans="1:23">
      <c r="A49" s="607"/>
      <c r="B49" s="608"/>
      <c r="C49" s="609"/>
      <c r="D49" s="508"/>
      <c r="E49" s="610"/>
      <c r="F49" s="226"/>
      <c r="G49" s="226"/>
      <c r="H49" s="226"/>
      <c r="I49" s="226"/>
      <c r="J49" s="226"/>
      <c r="K49" s="298"/>
      <c r="L49" s="298"/>
      <c r="M49" s="298"/>
      <c r="N49" s="298"/>
      <c r="O49" s="298"/>
      <c r="P49" s="298"/>
      <c r="Q49" s="298"/>
      <c r="R49" s="298"/>
      <c r="S49" s="298"/>
      <c r="T49" s="298"/>
      <c r="U49" s="298"/>
      <c r="V49" s="594"/>
      <c r="W49" s="611"/>
    </row>
    <row r="50" spans="1:23">
      <c r="A50" s="607"/>
      <c r="B50" s="608"/>
      <c r="C50" s="609"/>
      <c r="D50" s="508"/>
      <c r="E50" s="610"/>
      <c r="F50" s="226"/>
      <c r="G50" s="226"/>
      <c r="H50" s="298"/>
      <c r="I50" s="298"/>
      <c r="J50" s="226"/>
      <c r="K50" s="298"/>
      <c r="L50" s="298"/>
      <c r="M50" s="298"/>
      <c r="N50" s="298"/>
      <c r="O50" s="298"/>
      <c r="P50" s="298"/>
      <c r="Q50" s="298"/>
      <c r="R50" s="298"/>
      <c r="S50" s="298"/>
      <c r="T50" s="298"/>
      <c r="U50" s="298"/>
      <c r="V50" s="594"/>
      <c r="W50" s="611"/>
    </row>
    <row r="51" spans="1:23">
      <c r="A51" s="607"/>
      <c r="B51" s="608"/>
      <c r="C51" s="609"/>
      <c r="D51" s="508"/>
      <c r="E51" s="610"/>
      <c r="F51" s="226"/>
      <c r="G51" s="226"/>
      <c r="H51" s="298"/>
      <c r="I51" s="298"/>
      <c r="J51" s="226"/>
      <c r="K51" s="298"/>
      <c r="L51" s="298"/>
      <c r="M51" s="298"/>
      <c r="N51" s="298"/>
      <c r="O51" s="298"/>
      <c r="P51" s="298"/>
      <c r="Q51" s="298"/>
      <c r="R51" s="298"/>
      <c r="S51" s="298"/>
      <c r="T51" s="298"/>
      <c r="U51" s="298"/>
      <c r="V51" s="594"/>
      <c r="W51" s="611"/>
    </row>
    <row r="52" spans="1:23">
      <c r="A52" s="607"/>
      <c r="B52" s="608"/>
      <c r="C52" s="609"/>
      <c r="D52" s="508"/>
      <c r="E52" s="610"/>
      <c r="F52" s="226"/>
      <c r="G52" s="226"/>
      <c r="H52" s="298"/>
      <c r="I52" s="298"/>
      <c r="J52" s="226"/>
      <c r="K52" s="298"/>
      <c r="L52" s="298"/>
      <c r="M52" s="298"/>
      <c r="N52" s="298"/>
      <c r="O52" s="298"/>
      <c r="P52" s="298"/>
      <c r="Q52" s="298"/>
      <c r="R52" s="298"/>
      <c r="S52" s="298"/>
      <c r="T52" s="298"/>
      <c r="U52" s="298"/>
      <c r="V52" s="594"/>
      <c r="W52" s="611"/>
    </row>
    <row r="53" spans="1:23">
      <c r="A53" s="607"/>
      <c r="B53" s="608"/>
      <c r="C53" s="609"/>
      <c r="D53" s="508"/>
      <c r="E53" s="610"/>
      <c r="F53" s="298"/>
      <c r="G53" s="298"/>
      <c r="H53" s="298"/>
      <c r="I53" s="298"/>
      <c r="J53" s="226"/>
      <c r="K53" s="298"/>
      <c r="L53" s="298"/>
      <c r="M53" s="298"/>
      <c r="N53" s="298"/>
      <c r="O53" s="298"/>
      <c r="P53" s="298"/>
      <c r="Q53" s="298"/>
      <c r="R53" s="298"/>
      <c r="S53" s="298"/>
      <c r="T53" s="298"/>
      <c r="U53" s="298"/>
      <c r="V53" s="594"/>
      <c r="W53" s="611"/>
    </row>
    <row r="54" spans="1:23">
      <c r="A54" s="607"/>
      <c r="B54" s="608"/>
      <c r="C54" s="609"/>
      <c r="D54" s="508"/>
      <c r="E54" s="610"/>
      <c r="F54" s="226"/>
      <c r="G54" s="226"/>
      <c r="H54" s="298"/>
      <c r="I54" s="298"/>
      <c r="J54" s="226"/>
      <c r="K54" s="298"/>
      <c r="L54" s="298"/>
      <c r="M54" s="298"/>
      <c r="N54" s="298"/>
      <c r="O54" s="298"/>
      <c r="P54" s="298"/>
      <c r="Q54" s="298"/>
      <c r="R54" s="298"/>
      <c r="S54" s="298"/>
      <c r="T54" s="298"/>
      <c r="U54" s="298"/>
      <c r="V54" s="594"/>
      <c r="W54" s="611"/>
    </row>
    <row r="55" spans="1:23">
      <c r="A55" s="607"/>
      <c r="B55" s="608"/>
      <c r="C55" s="609"/>
      <c r="D55" s="508"/>
      <c r="E55" s="610"/>
      <c r="F55" s="298"/>
      <c r="G55" s="298"/>
      <c r="H55" s="298"/>
      <c r="I55" s="298"/>
      <c r="J55" s="226"/>
      <c r="K55" s="298"/>
      <c r="L55" s="298"/>
      <c r="M55" s="298"/>
      <c r="N55" s="298"/>
      <c r="O55" s="298"/>
      <c r="P55" s="298"/>
      <c r="Q55" s="298"/>
      <c r="R55" s="298"/>
      <c r="S55" s="298"/>
      <c r="T55" s="298"/>
      <c r="U55" s="298"/>
      <c r="V55" s="594"/>
      <c r="W55" s="611"/>
    </row>
    <row r="56" spans="1:23">
      <c r="A56" s="607"/>
      <c r="B56" s="608"/>
      <c r="C56" s="609"/>
      <c r="D56" s="508"/>
      <c r="E56" s="610"/>
      <c r="F56" s="298"/>
      <c r="G56" s="298"/>
      <c r="H56" s="298"/>
      <c r="I56" s="298"/>
      <c r="J56" s="226"/>
      <c r="K56" s="298"/>
      <c r="L56" s="298"/>
      <c r="M56" s="298"/>
      <c r="N56" s="298"/>
      <c r="O56" s="298"/>
      <c r="P56" s="298"/>
      <c r="Q56" s="298"/>
      <c r="R56" s="298"/>
      <c r="S56" s="298"/>
      <c r="T56" s="298"/>
      <c r="U56" s="298"/>
      <c r="V56" s="594"/>
      <c r="W56" s="611"/>
    </row>
    <row r="57" spans="1:23">
      <c r="A57" s="607"/>
      <c r="B57" s="608"/>
      <c r="C57" s="609"/>
      <c r="D57" s="508"/>
      <c r="E57" s="610"/>
      <c r="F57" s="298"/>
      <c r="G57" s="298"/>
      <c r="H57" s="298"/>
      <c r="I57" s="298"/>
      <c r="J57" s="226"/>
      <c r="K57" s="298"/>
      <c r="L57" s="298"/>
      <c r="M57" s="298"/>
      <c r="N57" s="298"/>
      <c r="O57" s="298"/>
      <c r="P57" s="298"/>
      <c r="Q57" s="298"/>
      <c r="R57" s="298"/>
      <c r="S57" s="298"/>
      <c r="T57" s="298"/>
      <c r="U57" s="298"/>
      <c r="V57" s="594"/>
      <c r="W57" s="611"/>
    </row>
    <row r="58" spans="1:23">
      <c r="A58" s="607"/>
      <c r="B58" s="608"/>
      <c r="C58" s="609"/>
      <c r="D58" s="508"/>
      <c r="E58" s="610"/>
      <c r="F58" s="298"/>
      <c r="G58" s="298"/>
      <c r="H58" s="298"/>
      <c r="I58" s="298"/>
      <c r="J58" s="226"/>
      <c r="K58" s="298"/>
      <c r="L58" s="298"/>
      <c r="M58" s="298"/>
      <c r="N58" s="298"/>
      <c r="O58" s="298"/>
      <c r="P58" s="298"/>
      <c r="Q58" s="298"/>
      <c r="R58" s="298"/>
      <c r="S58" s="298"/>
      <c r="T58" s="298"/>
      <c r="U58" s="298"/>
      <c r="V58" s="594"/>
      <c r="W58" s="611"/>
    </row>
    <row r="59" spans="1:23">
      <c r="A59" s="607"/>
      <c r="B59" s="608"/>
      <c r="C59" s="609"/>
      <c r="D59" s="508"/>
      <c r="E59" s="610"/>
      <c r="F59" s="298"/>
      <c r="G59" s="298"/>
      <c r="H59" s="298"/>
      <c r="I59" s="298"/>
      <c r="J59" s="226"/>
      <c r="K59" s="298"/>
      <c r="L59" s="298"/>
      <c r="M59" s="298"/>
      <c r="N59" s="298"/>
      <c r="O59" s="298"/>
      <c r="P59" s="298"/>
      <c r="Q59" s="298"/>
      <c r="R59" s="298"/>
      <c r="S59" s="298"/>
      <c r="T59" s="298"/>
      <c r="U59" s="298"/>
      <c r="V59" s="594"/>
      <c r="W59" s="611"/>
    </row>
    <row r="60" spans="1:23">
      <c r="A60" s="607"/>
      <c r="B60" s="608"/>
      <c r="C60" s="609"/>
      <c r="D60" s="508"/>
      <c r="E60" s="610"/>
      <c r="F60" s="298"/>
      <c r="G60" s="298"/>
      <c r="H60" s="298"/>
      <c r="I60" s="298"/>
      <c r="J60" s="226"/>
      <c r="K60" s="298"/>
      <c r="L60" s="298"/>
      <c r="M60" s="298"/>
      <c r="N60" s="298"/>
      <c r="O60" s="298"/>
      <c r="P60" s="298"/>
      <c r="Q60" s="298"/>
      <c r="R60" s="298"/>
      <c r="S60" s="298"/>
      <c r="T60" s="298"/>
      <c r="U60" s="298"/>
      <c r="V60" s="594"/>
      <c r="W60" s="611"/>
    </row>
    <row r="61" spans="1:23">
      <c r="A61" s="607"/>
      <c r="B61" s="608"/>
      <c r="C61" s="609"/>
      <c r="D61" s="508"/>
      <c r="E61" s="610"/>
      <c r="F61" s="298"/>
      <c r="G61" s="298"/>
      <c r="H61" s="298"/>
      <c r="I61" s="298"/>
      <c r="J61" s="226"/>
      <c r="K61" s="298"/>
      <c r="L61" s="298"/>
      <c r="M61" s="298"/>
      <c r="N61" s="298"/>
      <c r="O61" s="298"/>
      <c r="P61" s="298"/>
      <c r="Q61" s="298"/>
      <c r="R61" s="298"/>
      <c r="S61" s="298"/>
      <c r="T61" s="298"/>
      <c r="U61" s="298"/>
      <c r="V61" s="594"/>
      <c r="W61" s="611"/>
    </row>
    <row r="62" spans="1:23">
      <c r="A62" s="607"/>
      <c r="B62" s="608"/>
      <c r="C62" s="609"/>
      <c r="D62" s="508"/>
      <c r="E62" s="610"/>
      <c r="F62" s="298"/>
      <c r="G62" s="298"/>
      <c r="H62" s="298"/>
      <c r="I62" s="298"/>
      <c r="J62" s="226"/>
      <c r="K62" s="298"/>
      <c r="L62" s="298"/>
      <c r="M62" s="298"/>
      <c r="N62" s="298"/>
      <c r="O62" s="298"/>
      <c r="P62" s="298"/>
      <c r="Q62" s="298"/>
      <c r="R62" s="298"/>
      <c r="S62" s="298"/>
      <c r="T62" s="298"/>
      <c r="U62" s="298"/>
      <c r="V62" s="594"/>
      <c r="W62" s="611"/>
    </row>
    <row r="63" spans="1:23">
      <c r="A63" s="607"/>
      <c r="B63" s="608"/>
      <c r="C63" s="609"/>
      <c r="D63" s="508"/>
      <c r="E63" s="610"/>
      <c r="F63" s="298"/>
      <c r="G63" s="298"/>
      <c r="H63" s="298"/>
      <c r="I63" s="298"/>
      <c r="J63" s="226"/>
      <c r="K63" s="298"/>
      <c r="L63" s="298"/>
      <c r="M63" s="298"/>
      <c r="N63" s="298"/>
      <c r="O63" s="298"/>
      <c r="P63" s="298"/>
      <c r="Q63" s="298"/>
      <c r="R63" s="298"/>
      <c r="S63" s="298"/>
      <c r="T63" s="298"/>
      <c r="U63" s="298"/>
      <c r="V63" s="594"/>
      <c r="W63" s="611"/>
    </row>
    <row r="64" spans="1:23">
      <c r="A64" s="607"/>
      <c r="B64" s="608"/>
      <c r="C64" s="609"/>
      <c r="D64" s="508"/>
      <c r="E64" s="610"/>
      <c r="F64" s="298"/>
      <c r="G64" s="298"/>
      <c r="H64" s="298"/>
      <c r="I64" s="298"/>
      <c r="J64" s="226"/>
      <c r="K64" s="298"/>
      <c r="L64" s="298"/>
      <c r="M64" s="298"/>
      <c r="N64" s="298"/>
      <c r="O64" s="298"/>
      <c r="P64" s="298"/>
      <c r="Q64" s="298"/>
      <c r="R64" s="298"/>
      <c r="S64" s="298"/>
      <c r="T64" s="298"/>
      <c r="U64" s="298"/>
      <c r="V64" s="594"/>
      <c r="W64" s="611"/>
    </row>
    <row r="65" spans="1:23">
      <c r="A65" s="607"/>
      <c r="B65" s="608"/>
      <c r="C65" s="609"/>
      <c r="D65" s="508"/>
      <c r="E65" s="610"/>
      <c r="F65" s="298"/>
      <c r="G65" s="298"/>
      <c r="H65" s="298"/>
      <c r="I65" s="298"/>
      <c r="J65" s="226"/>
      <c r="K65" s="298"/>
      <c r="L65" s="298"/>
      <c r="M65" s="298"/>
      <c r="N65" s="298"/>
      <c r="O65" s="298"/>
      <c r="P65" s="298"/>
      <c r="Q65" s="298"/>
      <c r="R65" s="298"/>
      <c r="S65" s="298"/>
      <c r="T65" s="298"/>
      <c r="U65" s="298"/>
      <c r="V65" s="594"/>
      <c r="W65" s="611"/>
    </row>
    <row r="66" spans="1:23">
      <c r="A66" s="607"/>
      <c r="B66" s="608"/>
      <c r="C66" s="609"/>
      <c r="D66" s="270"/>
      <c r="E66" s="298"/>
      <c r="F66" s="298"/>
      <c r="G66" s="298"/>
      <c r="H66" s="298"/>
      <c r="I66" s="298"/>
      <c r="J66" s="226"/>
      <c r="K66" s="298"/>
      <c r="L66" s="298"/>
      <c r="M66" s="298"/>
      <c r="N66" s="298"/>
      <c r="O66" s="298"/>
      <c r="P66" s="298"/>
      <c r="Q66" s="298"/>
      <c r="R66" s="298"/>
      <c r="S66" s="298"/>
      <c r="T66" s="298"/>
      <c r="U66" s="298"/>
      <c r="V66" s="594"/>
      <c r="W66" s="611"/>
    </row>
    <row r="67" spans="1:23">
      <c r="A67" s="607"/>
      <c r="B67" s="608"/>
      <c r="C67" s="609"/>
      <c r="D67" s="270"/>
      <c r="E67" s="298"/>
      <c r="F67" s="298"/>
      <c r="G67" s="298"/>
      <c r="H67" s="298"/>
      <c r="I67" s="298"/>
      <c r="J67" s="226"/>
      <c r="K67" s="298"/>
      <c r="L67" s="298"/>
      <c r="M67" s="298"/>
      <c r="N67" s="298"/>
      <c r="O67" s="298"/>
      <c r="P67" s="298"/>
      <c r="Q67" s="298"/>
      <c r="R67" s="298"/>
      <c r="S67" s="298"/>
      <c r="T67" s="298"/>
      <c r="U67" s="298"/>
      <c r="V67" s="594"/>
      <c r="W67" s="611"/>
    </row>
    <row r="68" spans="1:23">
      <c r="A68" s="607"/>
      <c r="B68" s="608"/>
      <c r="C68" s="609"/>
      <c r="D68" s="270"/>
      <c r="E68" s="298"/>
      <c r="F68" s="298"/>
      <c r="G68" s="298"/>
      <c r="H68" s="298"/>
      <c r="I68" s="298"/>
      <c r="J68" s="226"/>
      <c r="K68" s="298"/>
      <c r="L68" s="298"/>
      <c r="M68" s="298"/>
      <c r="N68" s="298"/>
      <c r="O68" s="298"/>
      <c r="P68" s="298"/>
      <c r="Q68" s="298"/>
      <c r="R68" s="298"/>
      <c r="S68" s="298"/>
      <c r="T68" s="298"/>
      <c r="U68" s="298"/>
      <c r="V68" s="594"/>
      <c r="W68" s="611"/>
    </row>
    <row r="69" spans="1:23">
      <c r="A69" s="607"/>
      <c r="B69" s="608"/>
      <c r="C69" s="609"/>
      <c r="D69" s="270"/>
      <c r="E69" s="298"/>
      <c r="F69" s="298"/>
      <c r="G69" s="298"/>
      <c r="H69" s="298"/>
      <c r="I69" s="298"/>
      <c r="J69" s="226"/>
      <c r="K69" s="298"/>
      <c r="L69" s="298"/>
      <c r="M69" s="298"/>
      <c r="N69" s="298"/>
      <c r="O69" s="298"/>
      <c r="P69" s="298"/>
      <c r="Q69" s="298"/>
      <c r="R69" s="298"/>
      <c r="S69" s="298"/>
      <c r="T69" s="298"/>
      <c r="U69" s="298"/>
      <c r="V69" s="594"/>
      <c r="W69" s="611"/>
    </row>
    <row r="70" spans="1:23">
      <c r="A70" s="607"/>
      <c r="B70" s="608"/>
      <c r="C70" s="609"/>
      <c r="D70" s="270"/>
      <c r="E70" s="298"/>
      <c r="F70" s="298"/>
      <c r="G70" s="298"/>
      <c r="H70" s="298"/>
      <c r="I70" s="298"/>
      <c r="J70" s="226"/>
      <c r="K70" s="298"/>
      <c r="L70" s="298"/>
      <c r="M70" s="298"/>
      <c r="N70" s="298"/>
      <c r="O70" s="298"/>
      <c r="P70" s="298"/>
      <c r="Q70" s="298"/>
      <c r="R70" s="298"/>
      <c r="S70" s="298"/>
      <c r="T70" s="298"/>
      <c r="U70" s="298"/>
      <c r="V70" s="594"/>
    </row>
    <row r="71" spans="1:23">
      <c r="A71" s="607"/>
      <c r="B71" s="608"/>
      <c r="C71" s="609"/>
      <c r="D71" s="270"/>
      <c r="E71" s="298"/>
      <c r="F71" s="298"/>
      <c r="G71" s="298"/>
      <c r="H71" s="298"/>
      <c r="I71" s="298"/>
      <c r="J71" s="226"/>
      <c r="K71" s="298"/>
      <c r="L71" s="298"/>
      <c r="M71" s="298"/>
      <c r="N71" s="298"/>
      <c r="O71" s="298"/>
      <c r="P71" s="298"/>
      <c r="Q71" s="298"/>
      <c r="R71" s="298"/>
      <c r="S71" s="298"/>
      <c r="T71" s="298"/>
      <c r="U71" s="298"/>
      <c r="V71" s="594"/>
    </row>
    <row r="72" spans="1:23">
      <c r="A72" s="607"/>
      <c r="B72" s="608"/>
      <c r="C72" s="609"/>
      <c r="D72" s="270"/>
      <c r="E72" s="298"/>
      <c r="F72" s="298"/>
      <c r="G72" s="298"/>
      <c r="H72" s="298"/>
      <c r="I72" s="298"/>
      <c r="J72" s="226"/>
      <c r="K72" s="298"/>
      <c r="L72" s="298"/>
      <c r="M72" s="298"/>
      <c r="N72" s="298"/>
      <c r="O72" s="298"/>
      <c r="P72" s="298"/>
      <c r="Q72" s="298"/>
      <c r="R72" s="298"/>
      <c r="S72" s="298"/>
      <c r="T72" s="298"/>
      <c r="U72" s="298"/>
      <c r="V72" s="594"/>
    </row>
    <row r="73" spans="1:23">
      <c r="A73" s="607"/>
      <c r="B73" s="608"/>
      <c r="C73" s="609"/>
      <c r="D73" s="270"/>
      <c r="E73" s="298"/>
      <c r="F73" s="298"/>
      <c r="G73" s="298"/>
      <c r="H73" s="298"/>
      <c r="I73" s="298"/>
      <c r="J73" s="226"/>
      <c r="K73" s="298"/>
      <c r="L73" s="298"/>
      <c r="M73" s="298"/>
      <c r="N73" s="298"/>
      <c r="O73" s="298"/>
      <c r="P73" s="298"/>
      <c r="Q73" s="298"/>
      <c r="R73" s="298"/>
      <c r="S73" s="298"/>
      <c r="T73" s="298"/>
      <c r="U73" s="298"/>
      <c r="V73" s="594"/>
    </row>
    <row r="74" spans="1:23">
      <c r="A74" s="607"/>
      <c r="B74" s="608"/>
      <c r="C74" s="609"/>
      <c r="D74" s="270"/>
      <c r="E74" s="298"/>
      <c r="F74" s="298"/>
      <c r="G74" s="298"/>
      <c r="H74" s="298"/>
      <c r="I74" s="298"/>
      <c r="J74" s="226"/>
      <c r="K74" s="298"/>
      <c r="L74" s="298"/>
      <c r="M74" s="298"/>
      <c r="N74" s="298"/>
      <c r="O74" s="298"/>
      <c r="P74" s="298"/>
      <c r="Q74" s="298"/>
      <c r="R74" s="298"/>
      <c r="S74" s="298"/>
      <c r="T74" s="298"/>
      <c r="U74" s="298"/>
      <c r="V74" s="594"/>
    </row>
    <row r="75" spans="1:23">
      <c r="A75" s="607"/>
      <c r="B75" s="608"/>
      <c r="C75" s="609"/>
      <c r="D75" s="270"/>
      <c r="E75" s="298"/>
      <c r="F75" s="298"/>
      <c r="G75" s="298"/>
      <c r="H75" s="298"/>
      <c r="I75" s="298"/>
      <c r="J75" s="226"/>
      <c r="K75" s="298"/>
      <c r="L75" s="298"/>
      <c r="M75" s="298"/>
      <c r="N75" s="298"/>
      <c r="O75" s="298"/>
      <c r="P75" s="298"/>
      <c r="Q75" s="298"/>
      <c r="R75" s="298"/>
      <c r="S75" s="298"/>
      <c r="T75" s="298"/>
      <c r="U75" s="298"/>
      <c r="V75" s="594"/>
    </row>
    <row r="76" spans="1:23">
      <c r="A76" s="607"/>
      <c r="B76" s="608"/>
      <c r="C76" s="609"/>
      <c r="D76" s="270"/>
      <c r="E76" s="298"/>
      <c r="F76" s="298"/>
      <c r="G76" s="298"/>
      <c r="H76" s="298"/>
      <c r="I76" s="298"/>
      <c r="J76" s="226"/>
      <c r="K76" s="298"/>
      <c r="L76" s="298"/>
      <c r="M76" s="298"/>
      <c r="N76" s="298"/>
      <c r="O76" s="298"/>
      <c r="P76" s="298"/>
      <c r="Q76" s="298"/>
      <c r="R76" s="298"/>
      <c r="S76" s="298"/>
      <c r="T76" s="298"/>
      <c r="U76" s="298"/>
      <c r="V76" s="594"/>
    </row>
    <row r="77" spans="1:23">
      <c r="A77" s="607"/>
      <c r="B77" s="608"/>
      <c r="C77" s="609"/>
      <c r="D77" s="270"/>
      <c r="E77" s="298"/>
      <c r="F77" s="298"/>
      <c r="G77" s="298"/>
      <c r="H77" s="298"/>
      <c r="I77" s="298"/>
      <c r="J77" s="226"/>
      <c r="K77" s="298"/>
      <c r="L77" s="298"/>
      <c r="M77" s="298"/>
      <c r="N77" s="298"/>
      <c r="O77" s="298"/>
      <c r="P77" s="298"/>
      <c r="Q77" s="298"/>
      <c r="R77" s="298"/>
      <c r="S77" s="298"/>
      <c r="T77" s="298"/>
      <c r="U77" s="298"/>
      <c r="V77" s="594"/>
    </row>
    <row r="78" spans="1:23">
      <c r="A78" s="607"/>
      <c r="B78" s="608"/>
      <c r="C78" s="609"/>
      <c r="D78" s="270"/>
      <c r="E78" s="298"/>
      <c r="F78" s="298"/>
      <c r="G78" s="298"/>
      <c r="H78" s="298"/>
      <c r="I78" s="298"/>
      <c r="J78" s="226"/>
      <c r="K78" s="298"/>
      <c r="L78" s="298"/>
      <c r="M78" s="298"/>
      <c r="N78" s="298"/>
      <c r="O78" s="298"/>
      <c r="P78" s="298"/>
      <c r="Q78" s="298"/>
      <c r="R78" s="298"/>
      <c r="S78" s="298"/>
      <c r="T78" s="298"/>
      <c r="U78" s="298"/>
      <c r="V78" s="594"/>
    </row>
    <row r="79" spans="1:23">
      <c r="A79" s="607"/>
      <c r="B79" s="608"/>
      <c r="C79" s="609"/>
      <c r="D79" s="270"/>
      <c r="E79" s="298"/>
      <c r="F79" s="298"/>
      <c r="G79" s="298"/>
      <c r="H79" s="298"/>
      <c r="I79" s="298"/>
      <c r="J79" s="226"/>
      <c r="K79" s="298"/>
      <c r="L79" s="298"/>
      <c r="M79" s="298"/>
      <c r="N79" s="298"/>
      <c r="O79" s="298"/>
      <c r="P79" s="298"/>
      <c r="Q79" s="298"/>
      <c r="R79" s="298"/>
      <c r="S79" s="298"/>
      <c r="T79" s="298"/>
      <c r="U79" s="298"/>
      <c r="V79" s="594"/>
    </row>
    <row r="80" spans="1:23">
      <c r="A80" s="607"/>
      <c r="B80" s="608"/>
      <c r="C80" s="609"/>
      <c r="D80" s="270"/>
      <c r="E80" s="298"/>
      <c r="F80" s="298"/>
      <c r="G80" s="298"/>
      <c r="H80" s="298"/>
      <c r="I80" s="298"/>
      <c r="J80" s="226"/>
      <c r="K80" s="298"/>
      <c r="L80" s="298"/>
      <c r="M80" s="298"/>
      <c r="N80" s="298"/>
      <c r="O80" s="298"/>
      <c r="P80" s="298"/>
      <c r="Q80" s="298"/>
      <c r="R80" s="298"/>
      <c r="S80" s="298"/>
      <c r="T80" s="298"/>
      <c r="U80" s="298"/>
      <c r="V80" s="594"/>
    </row>
    <row r="81" spans="1:22">
      <c r="A81" s="607"/>
      <c r="B81" s="608"/>
      <c r="C81" s="609"/>
      <c r="D81" s="270"/>
      <c r="E81" s="298"/>
      <c r="F81" s="298"/>
      <c r="G81" s="298"/>
      <c r="H81" s="298"/>
      <c r="I81" s="298"/>
      <c r="J81" s="226"/>
      <c r="K81" s="298"/>
      <c r="L81" s="298"/>
      <c r="M81" s="298"/>
      <c r="N81" s="298"/>
      <c r="O81" s="298"/>
      <c r="P81" s="298"/>
      <c r="Q81" s="298"/>
      <c r="R81" s="298"/>
      <c r="S81" s="298"/>
      <c r="T81" s="298"/>
      <c r="U81" s="298"/>
      <c r="V81" s="594"/>
    </row>
    <row r="82" spans="1:22">
      <c r="A82" s="607"/>
      <c r="B82" s="608"/>
      <c r="C82" s="609"/>
      <c r="D82" s="270"/>
      <c r="E82" s="298"/>
      <c r="F82" s="298"/>
      <c r="G82" s="298"/>
      <c r="H82" s="298"/>
      <c r="I82" s="298"/>
      <c r="J82" s="226"/>
      <c r="K82" s="298"/>
      <c r="L82" s="298"/>
      <c r="M82" s="298"/>
      <c r="N82" s="298"/>
      <c r="O82" s="298"/>
      <c r="P82" s="298"/>
      <c r="Q82" s="298"/>
      <c r="R82" s="298"/>
      <c r="S82" s="298"/>
      <c r="T82" s="298"/>
      <c r="U82" s="298"/>
      <c r="V82" s="594"/>
    </row>
    <row r="83" spans="1:22">
      <c r="A83" s="607"/>
      <c r="B83" s="608"/>
      <c r="C83" s="609"/>
      <c r="D83" s="270"/>
      <c r="E83" s="298"/>
      <c r="F83" s="298"/>
      <c r="G83" s="298"/>
      <c r="H83" s="298"/>
      <c r="I83" s="298"/>
      <c r="J83" s="226"/>
      <c r="K83" s="298"/>
      <c r="L83" s="298"/>
      <c r="M83" s="298"/>
      <c r="N83" s="298"/>
      <c r="O83" s="298"/>
      <c r="P83" s="298"/>
      <c r="Q83" s="298"/>
      <c r="R83" s="298"/>
      <c r="S83" s="298"/>
      <c r="T83" s="298"/>
      <c r="U83" s="298"/>
      <c r="V83" s="594"/>
    </row>
    <row r="84" spans="1:22">
      <c r="A84" s="607"/>
      <c r="B84" s="608"/>
      <c r="C84" s="609"/>
      <c r="D84" s="270"/>
      <c r="E84" s="298"/>
      <c r="F84" s="298"/>
      <c r="G84" s="298"/>
      <c r="H84" s="298"/>
      <c r="I84" s="298"/>
      <c r="J84" s="226"/>
      <c r="K84" s="298"/>
      <c r="L84" s="298"/>
      <c r="M84" s="298"/>
      <c r="N84" s="298"/>
      <c r="O84" s="298"/>
      <c r="P84" s="298"/>
      <c r="Q84" s="298"/>
      <c r="R84" s="298"/>
      <c r="S84" s="298"/>
      <c r="T84" s="298"/>
      <c r="U84" s="298"/>
      <c r="V84" s="594"/>
    </row>
    <row r="85" spans="1:22">
      <c r="A85" s="607"/>
      <c r="B85" s="608"/>
      <c r="C85" s="609"/>
      <c r="D85" s="270"/>
      <c r="E85" s="298"/>
      <c r="F85" s="298"/>
      <c r="G85" s="298"/>
      <c r="H85" s="298"/>
      <c r="I85" s="298"/>
      <c r="J85" s="226"/>
      <c r="K85" s="298"/>
      <c r="L85" s="298"/>
      <c r="M85" s="298"/>
      <c r="N85" s="298"/>
      <c r="O85" s="298"/>
      <c r="P85" s="298"/>
      <c r="Q85" s="298"/>
      <c r="R85" s="298"/>
      <c r="S85" s="298"/>
      <c r="T85" s="298"/>
      <c r="U85" s="298"/>
      <c r="V85" s="594"/>
    </row>
    <row r="86" spans="1:22">
      <c r="A86" s="607"/>
      <c r="B86" s="608"/>
      <c r="C86" s="609"/>
      <c r="D86" s="270"/>
      <c r="E86" s="298"/>
      <c r="F86" s="298"/>
      <c r="G86" s="298"/>
      <c r="H86" s="298"/>
      <c r="I86" s="298"/>
      <c r="J86" s="226"/>
      <c r="K86" s="298"/>
      <c r="L86" s="298"/>
      <c r="M86" s="298"/>
      <c r="N86" s="298"/>
      <c r="O86" s="298"/>
      <c r="P86" s="298"/>
      <c r="Q86" s="298"/>
      <c r="R86" s="298"/>
      <c r="S86" s="298"/>
      <c r="T86" s="298"/>
      <c r="U86" s="298"/>
      <c r="V86" s="594"/>
    </row>
    <row r="87" spans="1:22">
      <c r="A87" s="607"/>
      <c r="B87" s="608"/>
      <c r="C87" s="609"/>
      <c r="D87" s="270"/>
      <c r="E87" s="298"/>
      <c r="F87" s="298"/>
      <c r="G87" s="298"/>
      <c r="H87" s="298"/>
      <c r="I87" s="298"/>
      <c r="J87" s="298"/>
      <c r="K87" s="298"/>
      <c r="L87" s="298"/>
      <c r="M87" s="298"/>
      <c r="N87" s="298"/>
      <c r="O87" s="298"/>
      <c r="P87" s="298"/>
      <c r="Q87" s="298"/>
      <c r="R87" s="298"/>
      <c r="S87" s="298"/>
      <c r="T87" s="298"/>
      <c r="U87" s="298"/>
      <c r="V87" s="594"/>
    </row>
    <row r="88" spans="1:22">
      <c r="A88" s="607"/>
      <c r="B88" s="608"/>
      <c r="C88" s="609"/>
      <c r="D88" s="270"/>
      <c r="E88" s="298"/>
      <c r="F88" s="298"/>
      <c r="G88" s="298"/>
      <c r="H88" s="298"/>
      <c r="I88" s="298"/>
      <c r="J88" s="298"/>
      <c r="K88" s="298"/>
      <c r="L88" s="298"/>
      <c r="M88" s="298"/>
      <c r="N88" s="298"/>
      <c r="O88" s="298"/>
      <c r="P88" s="298"/>
      <c r="Q88" s="298"/>
      <c r="R88" s="298"/>
      <c r="S88" s="298"/>
      <c r="T88" s="298"/>
      <c r="U88" s="298"/>
      <c r="V88" s="594"/>
    </row>
    <row r="89" spans="1:22">
      <c r="A89" s="607"/>
      <c r="B89" s="608"/>
      <c r="C89" s="609"/>
      <c r="D89" s="270"/>
      <c r="E89" s="298"/>
      <c r="F89" s="298"/>
      <c r="G89" s="298"/>
      <c r="H89" s="298"/>
      <c r="I89" s="298"/>
      <c r="J89" s="298"/>
      <c r="K89" s="298"/>
      <c r="L89" s="298"/>
      <c r="M89" s="298"/>
      <c r="N89" s="298"/>
      <c r="O89" s="298"/>
      <c r="P89" s="298"/>
      <c r="Q89" s="298"/>
      <c r="R89" s="298"/>
      <c r="S89" s="298"/>
      <c r="T89" s="298"/>
      <c r="U89" s="298"/>
      <c r="V89" s="594"/>
    </row>
    <row r="90" spans="1:22">
      <c r="A90" s="607"/>
      <c r="B90" s="608"/>
      <c r="C90" s="609"/>
      <c r="D90" s="270"/>
      <c r="E90" s="298"/>
      <c r="F90" s="298"/>
      <c r="G90" s="298"/>
      <c r="H90" s="298"/>
      <c r="I90" s="298"/>
      <c r="J90" s="298"/>
      <c r="K90" s="298"/>
      <c r="L90" s="298"/>
      <c r="M90" s="298"/>
      <c r="N90" s="298"/>
      <c r="O90" s="298"/>
      <c r="P90" s="298"/>
      <c r="Q90" s="298"/>
      <c r="R90" s="298"/>
      <c r="S90" s="298"/>
      <c r="T90" s="298"/>
      <c r="U90" s="298"/>
      <c r="V90" s="594"/>
    </row>
    <row r="91" spans="1:22">
      <c r="A91" s="607"/>
      <c r="B91" s="608"/>
      <c r="C91" s="609"/>
      <c r="D91" s="270"/>
      <c r="E91" s="298"/>
      <c r="F91" s="298"/>
      <c r="G91" s="298"/>
      <c r="H91" s="298"/>
      <c r="I91" s="298"/>
      <c r="J91" s="298"/>
      <c r="K91" s="298"/>
      <c r="L91" s="298"/>
      <c r="M91" s="298"/>
      <c r="N91" s="298"/>
      <c r="O91" s="298"/>
      <c r="P91" s="298"/>
      <c r="Q91" s="298"/>
      <c r="R91" s="298"/>
      <c r="S91" s="298"/>
      <c r="T91" s="298"/>
      <c r="U91" s="298"/>
      <c r="V91" s="594"/>
    </row>
    <row r="92" spans="1:22">
      <c r="A92" s="607"/>
      <c r="B92" s="608"/>
      <c r="C92" s="609"/>
      <c r="D92" s="270"/>
      <c r="E92" s="298"/>
      <c r="F92" s="298"/>
      <c r="G92" s="298"/>
      <c r="H92" s="298"/>
      <c r="I92" s="298"/>
      <c r="J92" s="298"/>
      <c r="K92" s="298"/>
      <c r="L92" s="298"/>
      <c r="M92" s="298"/>
      <c r="N92" s="298"/>
      <c r="O92" s="298"/>
      <c r="P92" s="298"/>
      <c r="Q92" s="298"/>
      <c r="R92" s="298"/>
      <c r="S92" s="298"/>
      <c r="T92" s="298"/>
      <c r="U92" s="298"/>
      <c r="V92" s="594"/>
    </row>
    <row r="93" spans="1:22">
      <c r="A93" s="607"/>
      <c r="B93" s="608"/>
      <c r="C93" s="609"/>
      <c r="D93" s="270"/>
      <c r="E93" s="298"/>
      <c r="F93" s="298"/>
      <c r="G93" s="298"/>
      <c r="H93" s="298"/>
      <c r="I93" s="298"/>
      <c r="J93" s="298"/>
      <c r="K93" s="298"/>
      <c r="L93" s="298"/>
      <c r="M93" s="298"/>
      <c r="N93" s="298"/>
      <c r="O93" s="298"/>
      <c r="P93" s="298"/>
      <c r="Q93" s="298"/>
      <c r="R93" s="298"/>
      <c r="S93" s="298"/>
      <c r="T93" s="298"/>
      <c r="U93" s="298"/>
      <c r="V93" s="594"/>
    </row>
    <row r="94" spans="1:22">
      <c r="A94" s="565"/>
      <c r="B94" s="611"/>
      <c r="C94" s="298"/>
      <c r="D94" s="298"/>
      <c r="E94" s="298"/>
      <c r="F94" s="298"/>
      <c r="G94" s="298"/>
      <c r="H94" s="298"/>
      <c r="I94" s="298"/>
      <c r="J94" s="298"/>
      <c r="K94" s="298"/>
      <c r="L94" s="298"/>
      <c r="M94" s="298"/>
      <c r="N94" s="298"/>
      <c r="O94" s="298"/>
      <c r="P94" s="298"/>
      <c r="Q94" s="298"/>
      <c r="R94" s="298"/>
      <c r="S94" s="298"/>
      <c r="T94" s="298"/>
      <c r="U94" s="298"/>
      <c r="V94" s="594"/>
    </row>
    <row r="95" spans="1:22">
      <c r="A95" s="565"/>
      <c r="B95" s="611"/>
      <c r="C95" s="298"/>
      <c r="D95" s="298"/>
      <c r="E95" s="298"/>
      <c r="F95" s="298"/>
      <c r="G95" s="298"/>
      <c r="H95" s="298"/>
      <c r="I95" s="298"/>
      <c r="J95" s="298"/>
      <c r="K95" s="298"/>
      <c r="L95" s="298"/>
      <c r="M95" s="298"/>
      <c r="N95" s="298"/>
      <c r="O95" s="298"/>
      <c r="P95" s="298"/>
      <c r="Q95" s="298"/>
      <c r="R95" s="298"/>
      <c r="S95" s="298"/>
      <c r="T95" s="298"/>
      <c r="U95" s="298"/>
      <c r="V95" s="594"/>
    </row>
    <row r="96" spans="1:22">
      <c r="A96" s="565"/>
      <c r="B96" s="611"/>
      <c r="C96" s="298"/>
      <c r="D96" s="298"/>
      <c r="E96" s="298"/>
      <c r="F96" s="298"/>
      <c r="G96" s="298"/>
      <c r="H96" s="298"/>
      <c r="I96" s="298"/>
      <c r="J96" s="298"/>
      <c r="K96" s="298"/>
      <c r="L96" s="298"/>
      <c r="M96" s="298"/>
      <c r="N96" s="298"/>
      <c r="O96" s="298"/>
      <c r="P96" s="298"/>
      <c r="Q96" s="298"/>
      <c r="R96" s="298"/>
      <c r="S96" s="298"/>
      <c r="T96" s="298"/>
      <c r="U96" s="298"/>
      <c r="V96" s="594"/>
    </row>
    <row r="97" spans="1:22">
      <c r="A97" s="565"/>
      <c r="B97" s="611"/>
      <c r="C97" s="298"/>
      <c r="D97" s="298"/>
      <c r="E97" s="298"/>
      <c r="F97" s="298"/>
      <c r="G97" s="298"/>
      <c r="H97" s="298"/>
      <c r="I97" s="298"/>
      <c r="J97" s="298"/>
      <c r="K97" s="298"/>
      <c r="L97" s="298"/>
      <c r="M97" s="298"/>
      <c r="N97" s="298"/>
      <c r="O97" s="298"/>
      <c r="P97" s="298"/>
      <c r="Q97" s="298"/>
      <c r="R97" s="298"/>
      <c r="S97" s="298"/>
      <c r="T97" s="298"/>
      <c r="U97" s="298"/>
      <c r="V97" s="594"/>
    </row>
    <row r="98" spans="1:22">
      <c r="A98" s="565"/>
      <c r="B98" s="611"/>
      <c r="C98" s="298"/>
      <c r="D98" s="298"/>
      <c r="E98" s="298"/>
      <c r="F98" s="298"/>
      <c r="G98" s="298"/>
      <c r="H98" s="298"/>
      <c r="I98" s="298"/>
      <c r="J98" s="298"/>
      <c r="K98" s="298"/>
      <c r="L98" s="298"/>
      <c r="M98" s="298"/>
      <c r="N98" s="298"/>
      <c r="O98" s="298"/>
      <c r="P98" s="298"/>
      <c r="Q98" s="298"/>
      <c r="R98" s="298"/>
      <c r="S98" s="298"/>
      <c r="T98" s="298"/>
      <c r="U98" s="298"/>
      <c r="V98" s="594"/>
    </row>
    <row r="99" spans="1:22">
      <c r="A99" s="565"/>
      <c r="B99" s="611"/>
      <c r="C99" s="298"/>
      <c r="D99" s="298"/>
      <c r="E99" s="298"/>
      <c r="F99" s="298"/>
      <c r="G99" s="298"/>
      <c r="H99" s="298"/>
      <c r="I99" s="298"/>
      <c r="J99" s="298"/>
      <c r="K99" s="298"/>
      <c r="L99" s="298"/>
      <c r="M99" s="298"/>
      <c r="N99" s="298"/>
      <c r="O99" s="298"/>
      <c r="P99" s="298"/>
      <c r="Q99" s="298"/>
      <c r="R99" s="298"/>
      <c r="S99" s="298"/>
      <c r="T99" s="298"/>
      <c r="U99" s="298"/>
      <c r="V99" s="594"/>
    </row>
    <row r="100" spans="1:22">
      <c r="A100" s="565"/>
      <c r="B100" s="611"/>
      <c r="C100" s="298"/>
      <c r="D100" s="298"/>
      <c r="E100" s="298"/>
      <c r="F100" s="298"/>
      <c r="G100" s="298"/>
      <c r="H100" s="298"/>
      <c r="I100" s="298"/>
      <c r="J100" s="298"/>
      <c r="K100" s="298"/>
      <c r="L100" s="298"/>
      <c r="M100" s="298"/>
      <c r="N100" s="298"/>
      <c r="O100" s="298"/>
      <c r="P100" s="298"/>
      <c r="Q100" s="298"/>
      <c r="R100" s="298"/>
      <c r="S100" s="298"/>
      <c r="T100" s="298"/>
      <c r="U100" s="298"/>
      <c r="V100" s="594"/>
    </row>
    <row r="101" spans="1:22">
      <c r="A101" s="565"/>
      <c r="B101" s="611"/>
      <c r="C101" s="298"/>
      <c r="D101" s="298"/>
      <c r="E101" s="298"/>
      <c r="F101" s="298"/>
      <c r="G101" s="298"/>
      <c r="H101" s="298"/>
      <c r="I101" s="298"/>
      <c r="J101" s="298"/>
      <c r="K101" s="298"/>
      <c r="L101" s="298"/>
      <c r="M101" s="298"/>
      <c r="N101" s="298"/>
      <c r="O101" s="298"/>
      <c r="P101" s="298"/>
      <c r="Q101" s="298"/>
      <c r="R101" s="298"/>
      <c r="S101" s="298"/>
      <c r="T101" s="298"/>
      <c r="U101" s="298"/>
      <c r="V101" s="594"/>
    </row>
    <row r="102" spans="1:22">
      <c r="A102" s="565"/>
      <c r="B102" s="611"/>
      <c r="C102" s="298"/>
      <c r="D102" s="298"/>
      <c r="E102" s="298"/>
      <c r="F102" s="298"/>
      <c r="G102" s="298"/>
      <c r="H102" s="298"/>
      <c r="I102" s="298"/>
      <c r="J102" s="298"/>
      <c r="K102" s="298"/>
      <c r="L102" s="298"/>
      <c r="M102" s="298"/>
      <c r="N102" s="298"/>
      <c r="O102" s="298"/>
      <c r="P102" s="298"/>
      <c r="Q102" s="298"/>
      <c r="R102" s="298"/>
      <c r="S102" s="298"/>
      <c r="T102" s="298"/>
      <c r="U102" s="298"/>
      <c r="V102" s="594"/>
    </row>
    <row r="103" spans="1:22">
      <c r="A103" s="565"/>
      <c r="B103" s="611"/>
      <c r="C103" s="298"/>
      <c r="D103" s="298"/>
      <c r="E103" s="298"/>
      <c r="F103" s="298"/>
      <c r="G103" s="298"/>
      <c r="H103" s="298"/>
      <c r="I103" s="298"/>
      <c r="J103" s="298"/>
      <c r="K103" s="298"/>
      <c r="L103" s="298"/>
      <c r="M103" s="298"/>
      <c r="N103" s="298"/>
      <c r="O103" s="298"/>
      <c r="P103" s="298"/>
      <c r="Q103" s="298"/>
      <c r="R103" s="298"/>
      <c r="S103" s="298"/>
      <c r="T103" s="298"/>
      <c r="U103" s="298"/>
      <c r="V103" s="594"/>
    </row>
    <row r="104" spans="1:22">
      <c r="A104" s="565"/>
      <c r="B104" s="611"/>
      <c r="C104" s="298"/>
      <c r="D104" s="298"/>
      <c r="E104" s="298"/>
      <c r="F104" s="298"/>
      <c r="G104" s="298"/>
      <c r="H104" s="298"/>
      <c r="I104" s="298"/>
      <c r="J104" s="298"/>
      <c r="K104" s="298"/>
      <c r="L104" s="298"/>
      <c r="M104" s="298"/>
      <c r="N104" s="298"/>
      <c r="O104" s="298"/>
      <c r="P104" s="298"/>
      <c r="Q104" s="298"/>
      <c r="R104" s="298"/>
      <c r="S104" s="298"/>
      <c r="T104" s="298"/>
      <c r="U104" s="298"/>
      <c r="V104" s="594"/>
    </row>
    <row r="105" spans="1:22">
      <c r="A105" s="565"/>
      <c r="B105" s="611"/>
      <c r="C105" s="298"/>
      <c r="D105" s="298"/>
      <c r="E105" s="298"/>
      <c r="F105" s="298"/>
      <c r="G105" s="298"/>
      <c r="H105" s="298"/>
      <c r="I105" s="298"/>
      <c r="J105" s="298"/>
      <c r="K105" s="298"/>
      <c r="L105" s="298"/>
      <c r="M105" s="298"/>
      <c r="N105" s="298"/>
      <c r="O105" s="298"/>
      <c r="P105" s="298"/>
      <c r="Q105" s="298"/>
      <c r="R105" s="298"/>
      <c r="S105" s="298"/>
      <c r="T105" s="298"/>
      <c r="U105" s="298"/>
      <c r="V105" s="594"/>
    </row>
    <row r="106" spans="1:22">
      <c r="A106" s="565"/>
      <c r="B106" s="611"/>
      <c r="C106" s="298"/>
      <c r="D106" s="298"/>
      <c r="E106" s="298"/>
      <c r="F106" s="298"/>
      <c r="G106" s="298"/>
      <c r="H106" s="298"/>
      <c r="I106" s="298"/>
      <c r="J106" s="298"/>
      <c r="K106" s="298"/>
      <c r="L106" s="298"/>
      <c r="M106" s="298"/>
      <c r="N106" s="298"/>
      <c r="O106" s="298"/>
      <c r="P106" s="298"/>
      <c r="Q106" s="298"/>
      <c r="R106" s="298"/>
      <c r="S106" s="298"/>
      <c r="T106" s="298"/>
      <c r="U106" s="298"/>
      <c r="V106" s="594"/>
    </row>
    <row r="107" spans="1:22">
      <c r="A107" s="565"/>
      <c r="B107" s="611"/>
      <c r="C107" s="298"/>
      <c r="D107" s="298"/>
      <c r="E107" s="298"/>
      <c r="F107" s="298"/>
      <c r="G107" s="298"/>
      <c r="H107" s="298"/>
      <c r="I107" s="298"/>
      <c r="J107" s="298"/>
      <c r="K107" s="298"/>
      <c r="L107" s="298"/>
      <c r="M107" s="298"/>
      <c r="N107" s="298"/>
      <c r="O107" s="298"/>
      <c r="P107" s="298"/>
      <c r="Q107" s="298"/>
      <c r="R107" s="298"/>
      <c r="S107" s="298"/>
      <c r="T107" s="298"/>
      <c r="U107" s="298"/>
      <c r="V107" s="594"/>
    </row>
    <row r="108" spans="1:22">
      <c r="A108" s="565"/>
      <c r="B108" s="611"/>
      <c r="C108" s="298"/>
      <c r="D108" s="298"/>
      <c r="E108" s="298"/>
      <c r="F108" s="298"/>
      <c r="G108" s="298"/>
      <c r="H108" s="298"/>
      <c r="I108" s="298"/>
      <c r="J108" s="298"/>
      <c r="K108" s="298"/>
      <c r="L108" s="298"/>
      <c r="M108" s="298"/>
      <c r="N108" s="298"/>
      <c r="O108" s="298"/>
      <c r="P108" s="298"/>
      <c r="Q108" s="298"/>
      <c r="R108" s="298"/>
      <c r="S108" s="298"/>
      <c r="T108" s="298"/>
      <c r="U108" s="298"/>
      <c r="V108" s="594"/>
    </row>
    <row r="109" spans="1:22">
      <c r="A109" s="565"/>
      <c r="B109" s="611"/>
      <c r="C109" s="298"/>
      <c r="D109" s="298"/>
      <c r="E109" s="298"/>
      <c r="F109" s="298"/>
      <c r="G109" s="298"/>
      <c r="H109" s="298"/>
      <c r="I109" s="298"/>
      <c r="J109" s="298"/>
      <c r="K109" s="298"/>
      <c r="L109" s="298"/>
      <c r="M109" s="298"/>
      <c r="N109" s="298"/>
      <c r="O109" s="298"/>
      <c r="P109" s="298"/>
      <c r="Q109" s="298"/>
      <c r="R109" s="298"/>
      <c r="S109" s="298"/>
      <c r="T109" s="298"/>
      <c r="U109" s="298"/>
      <c r="V109" s="594"/>
    </row>
    <row r="110" spans="1:22">
      <c r="A110" s="565"/>
      <c r="B110" s="611"/>
      <c r="C110" s="298"/>
      <c r="D110" s="298"/>
      <c r="E110" s="298"/>
      <c r="F110" s="298"/>
      <c r="G110" s="298"/>
      <c r="H110" s="298"/>
      <c r="I110" s="298"/>
      <c r="J110" s="298"/>
      <c r="K110" s="298"/>
      <c r="L110" s="298"/>
      <c r="M110" s="298"/>
      <c r="N110" s="298"/>
      <c r="O110" s="298"/>
      <c r="P110" s="298"/>
      <c r="Q110" s="298"/>
      <c r="R110" s="298"/>
      <c r="S110" s="298"/>
      <c r="T110" s="298"/>
      <c r="U110" s="298"/>
      <c r="V110" s="594"/>
    </row>
    <row r="111" spans="1:22">
      <c r="A111" s="565"/>
      <c r="B111" s="611"/>
      <c r="C111" s="298"/>
      <c r="D111" s="298"/>
      <c r="E111" s="298"/>
      <c r="F111" s="298"/>
      <c r="G111" s="298"/>
      <c r="H111" s="298"/>
      <c r="I111" s="298"/>
      <c r="J111" s="298"/>
      <c r="K111" s="298"/>
      <c r="L111" s="298"/>
      <c r="M111" s="298"/>
      <c r="N111" s="298"/>
      <c r="O111" s="298"/>
      <c r="P111" s="298"/>
      <c r="Q111" s="298"/>
      <c r="R111" s="298"/>
      <c r="S111" s="298"/>
      <c r="T111" s="298"/>
      <c r="U111" s="298"/>
      <c r="V111" s="594"/>
    </row>
    <row r="112" spans="1:22">
      <c r="A112" s="565"/>
      <c r="B112" s="611"/>
      <c r="C112" s="298"/>
      <c r="D112" s="298"/>
      <c r="E112" s="298"/>
      <c r="F112" s="298"/>
      <c r="G112" s="298"/>
      <c r="H112" s="298"/>
      <c r="I112" s="298"/>
      <c r="J112" s="298"/>
      <c r="K112" s="298"/>
      <c r="L112" s="298"/>
      <c r="M112" s="298"/>
      <c r="N112" s="298"/>
      <c r="O112" s="298"/>
      <c r="P112" s="298"/>
      <c r="Q112" s="298"/>
      <c r="R112" s="298"/>
      <c r="S112" s="298"/>
      <c r="T112" s="298"/>
      <c r="U112" s="298"/>
      <c r="V112" s="594"/>
    </row>
    <row r="113" spans="1:22">
      <c r="A113" s="565"/>
      <c r="B113" s="611"/>
      <c r="C113" s="298"/>
      <c r="D113" s="298"/>
      <c r="E113" s="298"/>
      <c r="F113" s="298"/>
      <c r="G113" s="298"/>
      <c r="H113" s="298"/>
      <c r="I113" s="298"/>
      <c r="J113" s="298"/>
      <c r="K113" s="298"/>
      <c r="L113" s="298"/>
      <c r="M113" s="298"/>
      <c r="N113" s="298"/>
      <c r="O113" s="298"/>
      <c r="P113" s="298"/>
      <c r="Q113" s="298"/>
      <c r="R113" s="298"/>
      <c r="S113" s="298"/>
      <c r="T113" s="298"/>
      <c r="U113" s="298"/>
      <c r="V113" s="594"/>
    </row>
    <row r="114" spans="1:22">
      <c r="A114" s="565"/>
      <c r="B114" s="611"/>
      <c r="C114" s="298"/>
      <c r="D114" s="298"/>
      <c r="E114" s="298"/>
      <c r="F114" s="298"/>
      <c r="G114" s="298"/>
      <c r="H114" s="298"/>
      <c r="I114" s="298"/>
      <c r="J114" s="298"/>
      <c r="K114" s="298"/>
      <c r="L114" s="298"/>
      <c r="M114" s="298"/>
      <c r="N114" s="298"/>
      <c r="O114" s="298"/>
      <c r="P114" s="298"/>
      <c r="Q114" s="298"/>
      <c r="R114" s="298"/>
      <c r="S114" s="298"/>
      <c r="T114" s="298"/>
      <c r="U114" s="298"/>
      <c r="V114" s="594"/>
    </row>
    <row r="115" spans="1:22">
      <c r="A115" s="565"/>
      <c r="B115" s="611"/>
      <c r="C115" s="298"/>
      <c r="D115" s="298"/>
      <c r="E115" s="298"/>
      <c r="F115" s="298"/>
      <c r="G115" s="298"/>
      <c r="H115" s="298"/>
      <c r="I115" s="298"/>
      <c r="J115" s="298"/>
      <c r="K115" s="298"/>
      <c r="L115" s="298"/>
      <c r="M115" s="298"/>
      <c r="N115" s="298"/>
      <c r="O115" s="298"/>
      <c r="P115" s="298"/>
      <c r="Q115" s="298"/>
      <c r="R115" s="298"/>
      <c r="S115" s="298"/>
      <c r="T115" s="298"/>
      <c r="U115" s="298"/>
      <c r="V115" s="594"/>
    </row>
    <row r="116" spans="1:22">
      <c r="A116" s="565"/>
      <c r="B116" s="611"/>
      <c r="C116" s="298"/>
      <c r="D116" s="298"/>
      <c r="E116" s="298"/>
      <c r="F116" s="298"/>
      <c r="G116" s="298"/>
      <c r="H116" s="298"/>
      <c r="I116" s="298"/>
      <c r="J116" s="298"/>
      <c r="K116" s="298"/>
      <c r="L116" s="298"/>
      <c r="M116" s="298"/>
      <c r="N116" s="298"/>
      <c r="O116" s="298"/>
      <c r="P116" s="298"/>
      <c r="Q116" s="298"/>
      <c r="R116" s="298"/>
      <c r="S116" s="298"/>
      <c r="T116" s="298"/>
      <c r="U116" s="298"/>
      <c r="V116" s="594"/>
    </row>
    <row r="117" spans="1:22">
      <c r="A117" s="612"/>
      <c r="B117" s="544"/>
      <c r="C117" s="542"/>
      <c r="D117" s="542"/>
      <c r="E117" s="542"/>
      <c r="F117" s="542"/>
      <c r="G117" s="542"/>
      <c r="H117" s="542"/>
      <c r="I117" s="542"/>
      <c r="J117" s="542"/>
      <c r="K117" s="542"/>
      <c r="L117" s="542"/>
      <c r="M117" s="542"/>
      <c r="N117" s="542"/>
      <c r="O117" s="542"/>
      <c r="P117" s="542"/>
      <c r="Q117" s="542"/>
      <c r="R117" s="542"/>
      <c r="S117" s="542"/>
      <c r="T117" s="542"/>
      <c r="U117" s="542"/>
      <c r="V117" s="613"/>
    </row>
  </sheetData>
  <mergeCells count="22">
    <mergeCell ref="B1:U1"/>
    <mergeCell ref="B2:U2"/>
    <mergeCell ref="B3:U3"/>
    <mergeCell ref="B4:U4"/>
    <mergeCell ref="I5:U5"/>
    <mergeCell ref="J6:M6"/>
    <mergeCell ref="P6:Q6"/>
    <mergeCell ref="A5:A6"/>
    <mergeCell ref="B5:B6"/>
    <mergeCell ref="C5:C6"/>
    <mergeCell ref="D5:D6"/>
    <mergeCell ref="E5:E6"/>
    <mergeCell ref="F5:F6"/>
    <mergeCell ref="G5:G6"/>
    <mergeCell ref="I6:I7"/>
    <mergeCell ref="N6:N7"/>
    <mergeCell ref="O6:O7"/>
    <mergeCell ref="R6:R7"/>
    <mergeCell ref="S6:S7"/>
    <mergeCell ref="T6:T7"/>
    <mergeCell ref="U6:U7"/>
    <mergeCell ref="V5:V6"/>
  </mergeCells>
  <pageMargins left="0.7" right="0.7" top="0.75" bottom="0.75" header="0.3" footer="0.3"/>
  <pageSetup paperSize="9" scale="51" orientation="landscape"/>
  <headerFooter/>
  <rowBreaks count="1" manualBreakCount="1">
    <brk id="42" max="16383" man="1"/>
  </rowBreaks>
  <colBreaks count="1" manualBreakCount="1">
    <brk id="22"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Y108"/>
  <sheetViews>
    <sheetView workbookViewId="0">
      <selection activeCell="D16" sqref="D16"/>
    </sheetView>
  </sheetViews>
  <sheetFormatPr defaultColWidth="9" defaultRowHeight="15"/>
  <cols>
    <col min="1" max="1" width="17" customWidth="1"/>
    <col min="2" max="2" width="15.7142857142857" customWidth="1"/>
    <col min="3" max="3" width="15.8571428571429" customWidth="1"/>
    <col min="4" max="4" width="27.5714285714286" customWidth="1"/>
    <col min="5" max="5" width="30" customWidth="1"/>
    <col min="6" max="6" width="28.7142857142857" customWidth="1"/>
    <col min="7" max="7" width="14.2857142857143" customWidth="1"/>
    <col min="8" max="8" width="7.28571428571429" customWidth="1"/>
    <col min="9" max="9" width="8.42857142857143" customWidth="1"/>
    <col min="10" max="10" width="9" customWidth="1"/>
    <col min="11" max="11" width="7" customWidth="1"/>
    <col min="12" max="12" width="6.28571428571429" customWidth="1"/>
    <col min="13" max="13" width="7.14285714285714" customWidth="1"/>
    <col min="14" max="14" width="6.71428571428571" customWidth="1"/>
    <col min="15" max="15" width="7.14285714285714" customWidth="1"/>
    <col min="16" max="16" width="8" customWidth="1"/>
    <col min="17" max="17" width="8.57142857142857" customWidth="1"/>
    <col min="18" max="18" width="6.14285714285714" customWidth="1"/>
    <col min="19" max="19" width="6.57142857142857" customWidth="1"/>
    <col min="20" max="20" width="6.14285714285714" customWidth="1"/>
    <col min="21" max="21" width="5.85714285714286" customWidth="1"/>
    <col min="22" max="22" width="6" customWidth="1"/>
    <col min="23" max="23" width="6.42857142857143" customWidth="1"/>
    <col min="24" max="24" width="7.42857142857143" customWidth="1"/>
    <col min="25" max="25" width="25.5714285714286" customWidth="1"/>
  </cols>
  <sheetData>
    <row r="1" ht="26.25" spans="1:25">
      <c r="A1" s="157"/>
      <c r="B1" s="158" t="s">
        <v>0</v>
      </c>
      <c r="C1" s="159"/>
      <c r="D1" s="159"/>
      <c r="E1" s="159"/>
      <c r="F1" s="159"/>
      <c r="G1" s="159"/>
      <c r="H1" s="159"/>
      <c r="I1" s="159"/>
      <c r="J1" s="159"/>
      <c r="K1" s="159"/>
      <c r="L1" s="159"/>
      <c r="M1" s="159"/>
      <c r="N1" s="159"/>
      <c r="O1" s="159"/>
      <c r="P1" s="159"/>
      <c r="Q1" s="159"/>
      <c r="R1" s="159"/>
      <c r="S1" s="159"/>
      <c r="T1" s="159"/>
      <c r="U1" s="159"/>
      <c r="V1" s="159"/>
      <c r="W1" s="159"/>
      <c r="X1" s="284"/>
      <c r="Y1" s="161"/>
    </row>
    <row r="2" ht="23.25" spans="1:25">
      <c r="A2" s="162"/>
      <c r="B2" s="163" t="s">
        <v>1</v>
      </c>
      <c r="C2" s="164"/>
      <c r="D2" s="164"/>
      <c r="E2" s="164"/>
      <c r="F2" s="164"/>
      <c r="G2" s="164"/>
      <c r="H2" s="164"/>
      <c r="I2" s="164"/>
      <c r="J2" s="164"/>
      <c r="K2" s="164"/>
      <c r="L2" s="164"/>
      <c r="M2" s="164"/>
      <c r="N2" s="164"/>
      <c r="O2" s="164"/>
      <c r="P2" s="164"/>
      <c r="Q2" s="164"/>
      <c r="R2" s="164"/>
      <c r="S2" s="164"/>
      <c r="T2" s="164"/>
      <c r="U2" s="164"/>
      <c r="V2" s="164"/>
      <c r="W2" s="164"/>
      <c r="X2" s="285"/>
      <c r="Y2" s="166"/>
    </row>
    <row r="3" ht="26.25" customHeight="1" spans="1:25">
      <c r="A3" s="162"/>
      <c r="B3" s="167" t="s">
        <v>56</v>
      </c>
      <c r="C3" s="168"/>
      <c r="D3" s="168"/>
      <c r="E3" s="168"/>
      <c r="F3" s="168"/>
      <c r="G3" s="168"/>
      <c r="H3" s="168"/>
      <c r="I3" s="168"/>
      <c r="J3" s="168"/>
      <c r="K3" s="168"/>
      <c r="L3" s="168"/>
      <c r="M3" s="168"/>
      <c r="N3" s="168"/>
      <c r="O3" s="168"/>
      <c r="P3" s="168"/>
      <c r="Q3" s="168"/>
      <c r="R3" s="168"/>
      <c r="S3" s="168"/>
      <c r="T3" s="168"/>
      <c r="U3" s="168"/>
      <c r="V3" s="168"/>
      <c r="W3" s="168"/>
      <c r="X3" s="286"/>
      <c r="Y3" s="166"/>
    </row>
    <row r="4" ht="24" spans="1:25">
      <c r="A4" s="170"/>
      <c r="B4" s="171" t="s">
        <v>3</v>
      </c>
      <c r="C4" s="172"/>
      <c r="D4" s="172"/>
      <c r="E4" s="172"/>
      <c r="F4" s="172"/>
      <c r="G4" s="172"/>
      <c r="H4" s="172"/>
      <c r="I4" s="172"/>
      <c r="J4" s="172"/>
      <c r="K4" s="172"/>
      <c r="L4" s="172"/>
      <c r="M4" s="172"/>
      <c r="N4" s="172"/>
      <c r="O4" s="172"/>
      <c r="P4" s="172"/>
      <c r="Q4" s="172"/>
      <c r="R4" s="172"/>
      <c r="S4" s="172"/>
      <c r="T4" s="172"/>
      <c r="U4" s="172"/>
      <c r="V4" s="172"/>
      <c r="W4" s="172"/>
      <c r="X4" s="287"/>
      <c r="Y4" s="174"/>
    </row>
    <row r="5" ht="21" customHeight="1" spans="1:25">
      <c r="A5" s="175" t="s">
        <v>4</v>
      </c>
      <c r="B5" s="176" t="s">
        <v>6</v>
      </c>
      <c r="C5" s="176" t="s">
        <v>7</v>
      </c>
      <c r="D5" s="177" t="s">
        <v>8</v>
      </c>
      <c r="E5" s="177" t="s">
        <v>9</v>
      </c>
      <c r="F5" s="177" t="s">
        <v>10</v>
      </c>
      <c r="G5" s="177" t="s">
        <v>11</v>
      </c>
      <c r="H5" s="288" t="s">
        <v>12</v>
      </c>
      <c r="I5" s="289"/>
      <c r="J5" s="289"/>
      <c r="K5" s="289"/>
      <c r="L5" s="289"/>
      <c r="M5" s="289"/>
      <c r="N5" s="289"/>
      <c r="O5" s="289"/>
      <c r="P5" s="289"/>
      <c r="Q5" s="289"/>
      <c r="R5" s="289"/>
      <c r="S5" s="289"/>
      <c r="T5" s="289"/>
      <c r="U5" s="289"/>
      <c r="V5" s="289"/>
      <c r="W5" s="289"/>
      <c r="X5" s="182"/>
      <c r="Y5" s="180" t="s">
        <v>13</v>
      </c>
    </row>
    <row r="6" ht="21" customHeight="1" spans="1:25">
      <c r="A6" s="181"/>
      <c r="B6" s="182"/>
      <c r="C6" s="182"/>
      <c r="D6" s="183"/>
      <c r="E6" s="183"/>
      <c r="F6" s="183"/>
      <c r="G6" s="183" t="s">
        <v>14</v>
      </c>
      <c r="H6" s="177" t="s">
        <v>57</v>
      </c>
      <c r="I6" s="288" t="s">
        <v>58</v>
      </c>
      <c r="J6" s="289"/>
      <c r="K6" s="178" t="s">
        <v>17</v>
      </c>
      <c r="L6" s="386" t="s">
        <v>18</v>
      </c>
      <c r="M6" s="387" t="s">
        <v>59</v>
      </c>
      <c r="N6" s="388" t="s">
        <v>60</v>
      </c>
      <c r="O6" s="177" t="s">
        <v>61</v>
      </c>
      <c r="P6" s="186" t="s">
        <v>62</v>
      </c>
      <c r="Q6" s="389"/>
      <c r="R6" s="390" t="s">
        <v>63</v>
      </c>
      <c r="S6" s="177" t="s">
        <v>22</v>
      </c>
      <c r="T6" s="290" t="s">
        <v>21</v>
      </c>
      <c r="U6" s="290" t="s">
        <v>64</v>
      </c>
      <c r="V6" s="387" t="s">
        <v>65</v>
      </c>
      <c r="W6" s="387" t="s">
        <v>66</v>
      </c>
      <c r="X6" s="387" t="s">
        <v>23</v>
      </c>
      <c r="Y6" s="188"/>
    </row>
    <row r="7" ht="15.95" customHeight="1" spans="1:25">
      <c r="A7" s="189"/>
      <c r="B7" s="190"/>
      <c r="C7" s="190"/>
      <c r="D7" s="190"/>
      <c r="E7" s="190"/>
      <c r="F7" s="190"/>
      <c r="G7" s="191"/>
      <c r="H7" s="183"/>
      <c r="I7" s="203" t="s">
        <v>67</v>
      </c>
      <c r="J7" s="204" t="s">
        <v>68</v>
      </c>
      <c r="K7" s="391"/>
      <c r="L7" s="392"/>
      <c r="M7" s="393"/>
      <c r="N7" s="394"/>
      <c r="O7" s="183"/>
      <c r="P7" s="395" t="s">
        <v>69</v>
      </c>
      <c r="Q7" s="395" t="s">
        <v>70</v>
      </c>
      <c r="R7" s="396"/>
      <c r="S7" s="183"/>
      <c r="T7" s="288"/>
      <c r="U7" s="288"/>
      <c r="V7" s="393"/>
      <c r="W7" s="393"/>
      <c r="X7" s="393"/>
      <c r="Y7" s="195"/>
    </row>
    <row r="8" ht="15.95" customHeight="1" spans="1:25">
      <c r="A8" s="196" t="s">
        <v>71</v>
      </c>
      <c r="B8" s="198">
        <v>45658</v>
      </c>
      <c r="C8" s="199" t="s">
        <v>31</v>
      </c>
      <c r="D8" s="199" t="s">
        <v>32</v>
      </c>
      <c r="E8" s="199" t="s">
        <v>33</v>
      </c>
      <c r="F8" s="199" t="s">
        <v>72</v>
      </c>
      <c r="G8" s="199" t="s">
        <v>34</v>
      </c>
      <c r="H8" s="199"/>
      <c r="I8" s="199"/>
      <c r="J8" s="199"/>
      <c r="K8" s="199"/>
      <c r="L8" s="199"/>
      <c r="M8" s="199"/>
      <c r="N8" s="199"/>
      <c r="O8" s="199"/>
      <c r="P8" s="199"/>
      <c r="Q8" s="199"/>
      <c r="R8" s="199"/>
      <c r="S8" s="199"/>
      <c r="T8" s="199"/>
      <c r="U8" s="199"/>
      <c r="V8" s="199"/>
      <c r="W8" s="199"/>
      <c r="X8" s="199"/>
      <c r="Y8" s="201" t="s">
        <v>35</v>
      </c>
    </row>
    <row r="9" customFormat="1" ht="15.95" customHeight="1" spans="1:25">
      <c r="A9" s="196" t="s">
        <v>73</v>
      </c>
      <c r="B9" s="202"/>
      <c r="C9" s="199"/>
      <c r="D9" s="199"/>
      <c r="E9" s="199"/>
      <c r="F9" s="199"/>
      <c r="G9" s="199"/>
      <c r="H9" s="199"/>
      <c r="I9" s="199"/>
      <c r="J9" s="199"/>
      <c r="K9" s="199"/>
      <c r="L9" s="199"/>
      <c r="M9" s="199"/>
      <c r="N9" s="199"/>
      <c r="O9" s="199"/>
      <c r="P9" s="199"/>
      <c r="Q9" s="199"/>
      <c r="R9" s="199"/>
      <c r="S9" s="199"/>
      <c r="T9" s="199"/>
      <c r="U9" s="199"/>
      <c r="V9" s="199"/>
      <c r="W9" s="199"/>
      <c r="X9" s="199"/>
      <c r="Y9" s="201" t="s">
        <v>37</v>
      </c>
    </row>
    <row r="10" s="385" customFormat="1" ht="15.95" customHeight="1" spans="1:25">
      <c r="A10" s="196" t="s">
        <v>74</v>
      </c>
      <c r="B10" s="202"/>
      <c r="C10" s="199"/>
      <c r="D10" s="199"/>
      <c r="E10" s="199"/>
      <c r="F10" s="199"/>
      <c r="G10" s="199"/>
      <c r="H10" s="199"/>
      <c r="I10" s="203"/>
      <c r="J10" s="204"/>
      <c r="K10" s="204"/>
      <c r="L10" s="204"/>
      <c r="M10" s="397"/>
      <c r="N10" s="398"/>
      <c r="O10" s="399"/>
      <c r="P10" s="400"/>
      <c r="Q10" s="208"/>
      <c r="R10" s="208"/>
      <c r="S10" s="401"/>
      <c r="T10" s="401"/>
      <c r="U10" s="401"/>
      <c r="V10" s="205"/>
      <c r="W10" s="205"/>
      <c r="X10" s="205"/>
      <c r="Y10" s="207" t="s">
        <v>39</v>
      </c>
    </row>
    <row r="11" customFormat="1" ht="15.95" customHeight="1" spans="1:25">
      <c r="A11" s="196" t="s">
        <v>75</v>
      </c>
      <c r="B11" s="202"/>
      <c r="C11" s="199"/>
      <c r="D11" s="199"/>
      <c r="E11" s="199"/>
      <c r="F11" s="199"/>
      <c r="G11" s="199"/>
      <c r="H11" s="208"/>
      <c r="I11" s="209"/>
      <c r="J11" s="210"/>
      <c r="K11" s="210"/>
      <c r="L11" s="210"/>
      <c r="M11" s="208"/>
      <c r="N11" s="199"/>
      <c r="O11" s="399"/>
      <c r="P11" s="400"/>
      <c r="Q11" s="208"/>
      <c r="R11" s="208"/>
      <c r="S11" s="401"/>
      <c r="T11" s="401"/>
      <c r="U11" s="401"/>
      <c r="V11" s="205"/>
      <c r="W11" s="205"/>
      <c r="X11" s="205"/>
      <c r="Y11" s="212" t="s">
        <v>41</v>
      </c>
    </row>
    <row r="12" customFormat="1" ht="15.95" customHeight="1" spans="1:25">
      <c r="A12" s="196" t="s">
        <v>76</v>
      </c>
      <c r="B12" s="213"/>
      <c r="C12" s="199"/>
      <c r="D12" s="199"/>
      <c r="E12" s="199"/>
      <c r="F12" s="199"/>
      <c r="G12" s="214"/>
      <c r="H12" s="215"/>
      <c r="I12" s="216"/>
      <c r="J12" s="217"/>
      <c r="K12" s="217"/>
      <c r="L12" s="217"/>
      <c r="M12" s="402"/>
      <c r="N12" s="403"/>
      <c r="O12" s="399"/>
      <c r="P12" s="400"/>
      <c r="Q12" s="404"/>
      <c r="R12" s="404"/>
      <c r="S12" s="404"/>
      <c r="T12" s="404"/>
      <c r="U12" s="404"/>
      <c r="V12" s="218"/>
      <c r="W12" s="218"/>
      <c r="X12" s="218"/>
      <c r="Y12" s="220" t="s">
        <v>43</v>
      </c>
    </row>
    <row r="13" customFormat="1" ht="15.95" customHeight="1" spans="1:25">
      <c r="A13" s="196" t="s">
        <v>77</v>
      </c>
      <c r="B13" s="213"/>
      <c r="C13" s="199"/>
      <c r="D13" s="199"/>
      <c r="E13" s="199"/>
      <c r="F13" s="199"/>
      <c r="G13" s="199"/>
      <c r="H13" s="208"/>
      <c r="I13" s="221"/>
      <c r="J13" s="210"/>
      <c r="K13" s="210"/>
      <c r="L13" s="210"/>
      <c r="M13" s="405"/>
      <c r="N13" s="406"/>
      <c r="O13" s="399"/>
      <c r="P13" s="400"/>
      <c r="Q13" s="407"/>
      <c r="R13" s="407"/>
      <c r="S13" s="408"/>
      <c r="T13" s="408"/>
      <c r="U13" s="408"/>
      <c r="V13" s="222"/>
      <c r="W13" s="222"/>
      <c r="X13" s="222"/>
      <c r="Y13" s="224" t="s">
        <v>45</v>
      </c>
    </row>
    <row r="14" ht="15.95" customHeight="1" spans="1:25">
      <c r="A14" s="225" t="s">
        <v>46</v>
      </c>
      <c r="B14" s="213"/>
      <c r="C14" s="199"/>
      <c r="D14" s="199"/>
      <c r="E14" s="199"/>
      <c r="F14" s="199"/>
      <c r="G14" s="199"/>
      <c r="H14" s="208"/>
      <c r="I14" s="221"/>
      <c r="J14" s="210"/>
      <c r="K14" s="210"/>
      <c r="L14" s="210"/>
      <c r="M14" s="409"/>
      <c r="N14" s="410"/>
      <c r="O14" s="399"/>
      <c r="P14" s="400"/>
      <c r="Q14" s="411"/>
      <c r="R14" s="411"/>
      <c r="S14" s="412"/>
      <c r="T14" s="412"/>
      <c r="U14" s="412"/>
      <c r="V14" s="226"/>
      <c r="W14" s="226"/>
      <c r="X14" s="226"/>
      <c r="Y14" s="228" t="s">
        <v>47</v>
      </c>
    </row>
    <row r="15" ht="15.95" customHeight="1" spans="1:25">
      <c r="A15" s="225" t="s">
        <v>48</v>
      </c>
      <c r="B15" s="213"/>
      <c r="C15" s="199"/>
      <c r="D15" s="199"/>
      <c r="E15" s="199"/>
      <c r="F15" s="199"/>
      <c r="G15" s="199"/>
      <c r="H15" s="208"/>
      <c r="I15" s="221"/>
      <c r="J15" s="229"/>
      <c r="K15" s="229"/>
      <c r="L15" s="229"/>
      <c r="M15" s="409"/>
      <c r="N15" s="410"/>
      <c r="O15" s="399"/>
      <c r="P15" s="400"/>
      <c r="Q15" s="226"/>
      <c r="R15" s="226"/>
      <c r="S15" s="226"/>
      <c r="T15" s="226"/>
      <c r="U15" s="226"/>
      <c r="V15" s="226"/>
      <c r="W15" s="226"/>
      <c r="X15" s="226"/>
      <c r="Y15" s="228"/>
    </row>
    <row r="16" ht="15.75" spans="1:25">
      <c r="A16" s="225" t="s">
        <v>49</v>
      </c>
      <c r="B16" s="213"/>
      <c r="C16" s="199"/>
      <c r="D16" s="199"/>
      <c r="E16" s="199"/>
      <c r="F16" s="199"/>
      <c r="G16" s="199"/>
      <c r="H16" s="208"/>
      <c r="I16" s="413"/>
      <c r="J16" s="229"/>
      <c r="K16" s="229"/>
      <c r="L16" s="229"/>
      <c r="M16" s="409"/>
      <c r="N16" s="410"/>
      <c r="O16" s="399"/>
      <c r="P16" s="400"/>
      <c r="Q16" s="226"/>
      <c r="R16" s="226"/>
      <c r="S16" s="226"/>
      <c r="T16" s="226"/>
      <c r="U16" s="226"/>
      <c r="V16" s="226"/>
      <c r="W16" s="226"/>
      <c r="X16" s="226"/>
      <c r="Y16" s="234" t="s">
        <v>50</v>
      </c>
    </row>
    <row r="17" ht="18.75" spans="1:25">
      <c r="A17" s="414"/>
      <c r="B17" s="414"/>
      <c r="C17" s="414"/>
      <c r="D17" s="414"/>
      <c r="E17" s="415"/>
      <c r="F17" s="416"/>
      <c r="G17" s="417"/>
      <c r="H17" s="415"/>
      <c r="I17" s="418"/>
      <c r="J17" s="419"/>
      <c r="K17" s="420"/>
      <c r="L17" s="217"/>
      <c r="M17" s="402"/>
      <c r="N17" s="403"/>
      <c r="O17" s="399"/>
      <c r="P17" s="400"/>
      <c r="Q17" s="404"/>
      <c r="R17" s="404"/>
      <c r="S17" s="404"/>
      <c r="T17" s="404"/>
      <c r="U17" s="404"/>
      <c r="V17" s="218"/>
      <c r="W17" s="218"/>
      <c r="X17" s="218"/>
      <c r="Y17" s="242" t="s">
        <v>51</v>
      </c>
    </row>
    <row r="18" ht="18.75" spans="1:25">
      <c r="A18" s="421"/>
      <c r="B18" s="414"/>
      <c r="C18" s="414"/>
      <c r="D18" s="414"/>
      <c r="E18" s="422"/>
      <c r="F18" s="423"/>
      <c r="G18" s="417"/>
      <c r="H18" s="424"/>
      <c r="I18" s="425"/>
      <c r="J18" s="419"/>
      <c r="K18" s="420"/>
      <c r="L18" s="210"/>
      <c r="M18" s="405"/>
      <c r="N18" s="406"/>
      <c r="O18" s="399"/>
      <c r="P18" s="400"/>
      <c r="Q18" s="407"/>
      <c r="R18" s="407"/>
      <c r="S18" s="408"/>
      <c r="T18" s="408"/>
      <c r="U18" s="408"/>
      <c r="V18" s="222"/>
      <c r="W18" s="222"/>
      <c r="X18" s="222"/>
      <c r="Y18" s="250" t="s">
        <v>52</v>
      </c>
    </row>
    <row r="19" ht="18.75" spans="1:25">
      <c r="A19" s="426"/>
      <c r="B19" s="427"/>
      <c r="C19" s="428"/>
      <c r="D19" s="427"/>
      <c r="E19" s="429"/>
      <c r="F19" s="430"/>
      <c r="G19" s="431"/>
      <c r="H19" s="414"/>
      <c r="I19" s="432"/>
      <c r="J19" s="433"/>
      <c r="K19" s="434"/>
      <c r="L19" s="210"/>
      <c r="M19" s="409"/>
      <c r="N19" s="410"/>
      <c r="O19" s="399"/>
      <c r="P19" s="400"/>
      <c r="Q19" s="411"/>
      <c r="R19" s="411"/>
      <c r="S19" s="412"/>
      <c r="T19" s="412"/>
      <c r="U19" s="412"/>
      <c r="V19" s="226"/>
      <c r="W19" s="226"/>
      <c r="X19" s="226"/>
      <c r="Y19" s="234" t="s">
        <v>53</v>
      </c>
    </row>
    <row r="20" ht="13.5" customHeight="1" spans="1:25">
      <c r="A20" s="435"/>
      <c r="B20" s="436"/>
      <c r="C20" s="437"/>
      <c r="D20" s="437"/>
      <c r="E20" s="438"/>
      <c r="F20" s="436"/>
      <c r="G20" s="439"/>
      <c r="H20" s="440"/>
      <c r="I20" s="441"/>
      <c r="J20" s="442"/>
      <c r="K20" s="443"/>
      <c r="L20" s="229"/>
      <c r="M20" s="409"/>
      <c r="N20" s="410"/>
      <c r="O20" s="399"/>
      <c r="P20" s="400"/>
      <c r="Q20" s="226"/>
      <c r="R20" s="226"/>
      <c r="S20" s="226"/>
      <c r="T20" s="226"/>
      <c r="U20" s="226"/>
      <c r="V20" s="226"/>
      <c r="W20" s="226"/>
      <c r="X20" s="226"/>
      <c r="Y20" s="234" t="s">
        <v>54</v>
      </c>
    </row>
    <row r="21" customHeight="1" spans="1:25">
      <c r="A21" s="444"/>
      <c r="B21" s="445"/>
      <c r="C21" s="445"/>
      <c r="D21" s="445"/>
      <c r="E21" s="445"/>
      <c r="F21" s="445"/>
      <c r="G21" s="445"/>
      <c r="H21" s="445"/>
      <c r="I21" s="445"/>
      <c r="J21" s="445"/>
      <c r="K21" s="446"/>
      <c r="L21" s="229"/>
      <c r="M21" s="409"/>
      <c r="N21" s="410"/>
      <c r="O21" s="399"/>
      <c r="P21" s="400"/>
      <c r="Q21" s="226"/>
      <c r="R21" s="226"/>
      <c r="S21" s="226"/>
      <c r="T21" s="226"/>
      <c r="U21" s="226"/>
      <c r="V21" s="226"/>
      <c r="W21" s="226"/>
      <c r="X21" s="226"/>
      <c r="Y21" s="234" t="s">
        <v>55</v>
      </c>
    </row>
    <row r="22" customHeight="1" spans="1:25">
      <c r="A22" s="447"/>
      <c r="B22" s="448"/>
      <c r="C22" s="448"/>
      <c r="D22" s="448"/>
      <c r="E22" s="448"/>
      <c r="F22" s="448"/>
      <c r="G22" s="448"/>
      <c r="H22" s="448"/>
      <c r="I22" s="448"/>
      <c r="J22" s="448"/>
      <c r="K22" s="449"/>
      <c r="L22" s="217"/>
      <c r="M22" s="402"/>
      <c r="N22" s="403"/>
      <c r="O22" s="399"/>
      <c r="P22" s="400"/>
      <c r="Q22" s="404"/>
      <c r="R22" s="404"/>
      <c r="S22" s="404"/>
      <c r="T22" s="404"/>
      <c r="U22" s="404"/>
      <c r="V22" s="218"/>
      <c r="W22" s="218"/>
      <c r="X22" s="218"/>
      <c r="Y22" s="220"/>
    </row>
    <row r="23" customHeight="1" spans="1:25">
      <c r="A23" s="450"/>
      <c r="B23" s="451"/>
      <c r="C23" s="450"/>
      <c r="D23" s="450"/>
      <c r="E23" s="452"/>
      <c r="F23" s="453"/>
      <c r="G23" s="452"/>
      <c r="H23" s="452"/>
      <c r="I23" s="454"/>
      <c r="J23" s="455"/>
      <c r="K23" s="456"/>
      <c r="L23" s="210"/>
      <c r="M23" s="405"/>
      <c r="N23" s="406"/>
      <c r="O23" s="399"/>
      <c r="P23" s="400"/>
      <c r="Q23" s="407"/>
      <c r="R23" s="407"/>
      <c r="S23" s="408"/>
      <c r="T23" s="408"/>
      <c r="U23" s="408"/>
      <c r="V23" s="222"/>
      <c r="W23" s="222"/>
      <c r="X23" s="222"/>
      <c r="Y23" s="224"/>
    </row>
    <row r="24" customFormat="1" customHeight="1" spans="1:25">
      <c r="A24" s="457"/>
      <c r="B24" s="458"/>
      <c r="C24" s="457"/>
      <c r="D24" s="457"/>
      <c r="E24" s="459"/>
      <c r="F24" s="460"/>
      <c r="G24" s="459"/>
      <c r="H24" s="459"/>
      <c r="I24" s="454"/>
      <c r="J24" s="461"/>
      <c r="K24" s="462"/>
      <c r="L24" s="210"/>
      <c r="M24" s="409"/>
      <c r="N24" s="410"/>
      <c r="O24" s="399"/>
      <c r="P24" s="400"/>
      <c r="Q24" s="411"/>
      <c r="R24" s="411"/>
      <c r="S24" s="412"/>
      <c r="T24" s="412"/>
      <c r="U24" s="412"/>
      <c r="V24" s="226"/>
      <c r="W24" s="226"/>
      <c r="X24" s="226"/>
      <c r="Y24" s="228"/>
    </row>
    <row r="25" customFormat="1" ht="15.75" customHeight="1" spans="1:25">
      <c r="A25" s="457"/>
      <c r="B25" s="463"/>
      <c r="C25" s="457"/>
      <c r="D25" s="457"/>
      <c r="E25" s="459"/>
      <c r="F25" s="460"/>
      <c r="G25" s="459"/>
      <c r="H25" s="459"/>
      <c r="I25" s="454"/>
      <c r="J25" s="461"/>
      <c r="K25" s="462"/>
      <c r="L25" s="229"/>
      <c r="M25" s="409"/>
      <c r="N25" s="410"/>
      <c r="O25" s="399"/>
      <c r="P25" s="400"/>
      <c r="Q25" s="226"/>
      <c r="R25" s="226"/>
      <c r="S25" s="226"/>
      <c r="T25" s="226"/>
      <c r="U25" s="226"/>
      <c r="V25" s="226"/>
      <c r="W25" s="226"/>
      <c r="X25" s="226"/>
      <c r="Y25" s="228"/>
    </row>
    <row r="26" customFormat="1" ht="15.75" customHeight="1" spans="1:25">
      <c r="A26" s="457"/>
      <c r="B26" s="463"/>
      <c r="C26" s="457"/>
      <c r="D26" s="457"/>
      <c r="E26" s="459"/>
      <c r="F26" s="460"/>
      <c r="H26" s="459"/>
      <c r="I26" s="464"/>
      <c r="J26" s="461"/>
      <c r="K26" s="462"/>
      <c r="L26" s="229"/>
      <c r="M26" s="409"/>
      <c r="N26" s="410"/>
      <c r="O26" s="399"/>
      <c r="P26" s="400"/>
      <c r="Q26" s="226"/>
      <c r="R26" s="226"/>
      <c r="S26" s="226"/>
      <c r="T26" s="226"/>
      <c r="U26" s="226"/>
      <c r="V26" s="226"/>
      <c r="W26" s="226"/>
      <c r="X26" s="226"/>
      <c r="Y26" s="228"/>
    </row>
    <row r="27" customFormat="1" ht="18.75" spans="1:25">
      <c r="A27" s="457"/>
      <c r="B27" s="463"/>
      <c r="C27" s="457"/>
      <c r="D27" s="457"/>
      <c r="E27" s="459"/>
      <c r="F27" s="460"/>
      <c r="G27" s="459"/>
      <c r="H27" s="459"/>
      <c r="I27" s="464"/>
      <c r="J27" s="461"/>
      <c r="K27" s="462"/>
      <c r="L27" s="217"/>
      <c r="M27" s="402"/>
      <c r="N27" s="403"/>
      <c r="O27" s="399"/>
      <c r="P27" s="400"/>
      <c r="Q27" s="404"/>
      <c r="R27" s="404"/>
      <c r="S27" s="404"/>
      <c r="T27" s="404"/>
      <c r="U27" s="404"/>
      <c r="V27" s="218"/>
      <c r="W27" s="218"/>
      <c r="X27" s="218"/>
      <c r="Y27" s="220"/>
    </row>
    <row r="28" customFormat="1" ht="18.75" spans="1:25">
      <c r="A28" s="457"/>
      <c r="B28" s="463"/>
      <c r="C28" s="457"/>
      <c r="D28" s="457"/>
      <c r="E28" s="459"/>
      <c r="F28" s="460"/>
      <c r="G28" s="459"/>
      <c r="H28" s="459"/>
      <c r="I28" s="464"/>
      <c r="J28" s="465"/>
      <c r="K28" s="466"/>
      <c r="L28" s="210"/>
      <c r="M28" s="405"/>
      <c r="N28" s="406"/>
      <c r="O28" s="399"/>
      <c r="P28" s="400"/>
      <c r="Q28" s="407"/>
      <c r="R28" s="407"/>
      <c r="S28" s="408"/>
      <c r="T28" s="408"/>
      <c r="U28" s="408"/>
      <c r="V28" s="222"/>
      <c r="W28" s="222"/>
      <c r="X28" s="222"/>
      <c r="Y28" s="224"/>
    </row>
    <row r="29" customFormat="1" ht="18.75" spans="1:25">
      <c r="A29" s="457"/>
      <c r="B29" s="463"/>
      <c r="C29" s="457"/>
      <c r="D29" s="457"/>
      <c r="E29" s="459"/>
      <c r="F29" s="460"/>
      <c r="G29" s="459"/>
      <c r="H29" s="459"/>
      <c r="I29" s="464"/>
      <c r="J29" s="461"/>
      <c r="K29" s="462"/>
      <c r="L29" s="210"/>
      <c r="M29" s="409"/>
      <c r="N29" s="410"/>
      <c r="O29" s="399"/>
      <c r="P29" s="400"/>
      <c r="Q29" s="411"/>
      <c r="R29" s="411"/>
      <c r="S29" s="412"/>
      <c r="T29" s="412"/>
      <c r="U29" s="412"/>
      <c r="V29" s="226"/>
      <c r="W29" s="226"/>
      <c r="X29" s="226"/>
      <c r="Y29" s="228"/>
    </row>
    <row r="30" customFormat="1" ht="15.75" spans="1:25">
      <c r="A30" s="457"/>
      <c r="B30" s="463"/>
      <c r="C30" s="457"/>
      <c r="D30" s="457"/>
      <c r="E30" s="459"/>
      <c r="F30" s="460"/>
      <c r="G30" s="459"/>
      <c r="H30" s="459"/>
      <c r="I30" s="464"/>
      <c r="J30" s="461"/>
      <c r="K30" s="462"/>
      <c r="L30" s="229"/>
      <c r="M30" s="409"/>
      <c r="N30" s="410"/>
      <c r="O30" s="399"/>
      <c r="P30" s="400"/>
      <c r="Q30" s="226"/>
      <c r="R30" s="226"/>
      <c r="S30" s="226"/>
      <c r="T30" s="226"/>
      <c r="U30" s="226"/>
      <c r="V30" s="226"/>
      <c r="W30" s="226"/>
      <c r="X30" s="226"/>
      <c r="Y30" s="228"/>
    </row>
    <row r="31" customFormat="1" ht="15.75" spans="1:25">
      <c r="A31" s="457"/>
      <c r="B31" s="463"/>
      <c r="C31" s="457"/>
      <c r="D31" s="457"/>
      <c r="E31" s="459"/>
      <c r="F31" s="460"/>
      <c r="G31" s="459"/>
      <c r="H31" s="459"/>
      <c r="I31" s="464"/>
      <c r="J31" s="461"/>
      <c r="K31" s="462"/>
      <c r="L31" s="229"/>
      <c r="M31" s="409"/>
      <c r="N31" s="410"/>
      <c r="O31" s="399"/>
      <c r="P31" s="400"/>
      <c r="Q31" s="226"/>
      <c r="R31" s="226"/>
      <c r="S31" s="226"/>
      <c r="T31" s="226"/>
      <c r="U31" s="226"/>
      <c r="V31" s="226"/>
      <c r="W31" s="226"/>
      <c r="X31" s="226"/>
      <c r="Y31" s="228"/>
    </row>
    <row r="32" customFormat="1" ht="18.75" spans="1:25">
      <c r="A32" s="457"/>
      <c r="B32" s="463"/>
      <c r="C32" s="457"/>
      <c r="D32" s="457"/>
      <c r="E32" s="459"/>
      <c r="F32" s="460"/>
      <c r="G32" s="459"/>
      <c r="H32" s="459"/>
      <c r="I32" s="464"/>
      <c r="J32" s="461"/>
      <c r="K32" s="462"/>
      <c r="L32" s="217"/>
      <c r="M32" s="402"/>
      <c r="N32" s="403"/>
      <c r="O32" s="399"/>
      <c r="P32" s="400"/>
      <c r="Q32" s="404"/>
      <c r="R32" s="404"/>
      <c r="S32" s="404"/>
      <c r="T32" s="404"/>
      <c r="U32" s="404"/>
      <c r="V32" s="218"/>
      <c r="W32" s="218"/>
      <c r="X32" s="218"/>
      <c r="Y32" s="220"/>
    </row>
    <row r="33" customFormat="1" ht="18.75" spans="1:25">
      <c r="A33" s="457"/>
      <c r="B33" s="463"/>
      <c r="C33" s="457"/>
      <c r="D33" s="457"/>
      <c r="E33" s="459"/>
      <c r="F33" s="460"/>
      <c r="G33" s="459"/>
      <c r="H33" s="459"/>
      <c r="I33" s="467"/>
      <c r="J33" s="461"/>
      <c r="K33" s="462"/>
      <c r="L33" s="210"/>
      <c r="M33" s="405"/>
      <c r="N33" s="406"/>
      <c r="O33" s="399"/>
      <c r="P33" s="400"/>
      <c r="Q33" s="407"/>
      <c r="R33" s="407"/>
      <c r="S33" s="408"/>
      <c r="T33" s="408"/>
      <c r="U33" s="408"/>
      <c r="V33" s="222"/>
      <c r="W33" s="222"/>
      <c r="X33" s="222"/>
      <c r="Y33" s="224"/>
    </row>
    <row r="34" customFormat="1" ht="18.75" spans="1:25">
      <c r="A34" s="457"/>
      <c r="B34" s="463"/>
      <c r="C34" s="457"/>
      <c r="D34" s="457"/>
      <c r="E34" s="459"/>
      <c r="F34" s="460"/>
      <c r="G34" s="459"/>
      <c r="H34" s="459"/>
      <c r="I34" s="467"/>
      <c r="J34" s="461"/>
      <c r="K34" s="462"/>
      <c r="L34" s="210"/>
      <c r="M34" s="409"/>
      <c r="N34" s="410"/>
      <c r="O34" s="399"/>
      <c r="P34" s="400"/>
      <c r="Q34" s="411"/>
      <c r="R34" s="411"/>
      <c r="S34" s="412"/>
      <c r="T34" s="412"/>
      <c r="U34" s="412"/>
      <c r="V34" s="226"/>
      <c r="W34" s="226"/>
      <c r="X34" s="226"/>
      <c r="Y34" s="228"/>
    </row>
    <row r="35" customFormat="1" ht="15.75" spans="1:25">
      <c r="A35" s="468"/>
      <c r="B35" s="469"/>
      <c r="C35" s="468"/>
      <c r="D35" s="468"/>
      <c r="E35" s="470"/>
      <c r="F35" s="471"/>
      <c r="G35" s="470"/>
      <c r="H35" s="470"/>
      <c r="I35" s="450"/>
      <c r="J35" s="465"/>
      <c r="K35" s="466"/>
      <c r="L35" s="229"/>
      <c r="M35" s="409"/>
      <c r="N35" s="410"/>
      <c r="O35" s="399"/>
      <c r="P35" s="400"/>
      <c r="Q35" s="226"/>
      <c r="R35" s="226"/>
      <c r="S35" s="226"/>
      <c r="T35" s="226"/>
      <c r="U35" s="226"/>
      <c r="V35" s="226"/>
      <c r="W35" s="226"/>
      <c r="X35" s="226"/>
      <c r="Y35" s="228"/>
    </row>
    <row r="36" customFormat="1" ht="15.75" spans="1:25">
      <c r="A36" s="457"/>
      <c r="B36" s="463"/>
      <c r="C36" s="457"/>
      <c r="D36" s="457"/>
      <c r="E36" s="459"/>
      <c r="F36" s="460"/>
      <c r="G36" s="459"/>
      <c r="H36" s="459"/>
      <c r="I36" s="472"/>
      <c r="J36" s="461"/>
      <c r="K36" s="462"/>
      <c r="L36" s="229"/>
      <c r="M36" s="409"/>
      <c r="N36" s="410"/>
      <c r="O36" s="399"/>
      <c r="P36" s="400"/>
      <c r="Q36" s="226"/>
      <c r="R36" s="226"/>
      <c r="S36" s="226"/>
      <c r="T36" s="226"/>
      <c r="U36" s="226"/>
      <c r="V36" s="226"/>
      <c r="W36" s="226"/>
      <c r="X36" s="226"/>
      <c r="Y36" s="228"/>
    </row>
    <row r="37" customFormat="1" ht="18.75" spans="1:25">
      <c r="A37" s="457"/>
      <c r="B37" s="463"/>
      <c r="C37" s="457"/>
      <c r="D37" s="457"/>
      <c r="E37" s="459"/>
      <c r="F37" s="460"/>
      <c r="G37" s="459"/>
      <c r="H37" s="459"/>
      <c r="I37" s="472"/>
      <c r="J37" s="461"/>
      <c r="K37" s="462"/>
      <c r="L37" s="217"/>
      <c r="M37" s="402"/>
      <c r="N37" s="403"/>
      <c r="O37" s="399"/>
      <c r="P37" s="400"/>
      <c r="Q37" s="404"/>
      <c r="R37" s="404"/>
      <c r="S37" s="404"/>
      <c r="T37" s="404"/>
      <c r="U37" s="404"/>
      <c r="V37" s="218"/>
      <c r="W37" s="218"/>
      <c r="X37" s="218"/>
      <c r="Y37" s="220"/>
    </row>
    <row r="38" customFormat="1" ht="18.75" spans="1:25">
      <c r="A38" s="457"/>
      <c r="B38" s="463"/>
      <c r="C38" s="457"/>
      <c r="D38" s="457"/>
      <c r="E38" s="459"/>
      <c r="F38" s="460"/>
      <c r="G38" s="459"/>
      <c r="H38" s="459"/>
      <c r="I38" s="472"/>
      <c r="J38" s="461"/>
      <c r="K38" s="462"/>
      <c r="L38" s="210"/>
      <c r="M38" s="405"/>
      <c r="N38" s="406"/>
      <c r="O38" s="399"/>
      <c r="P38" s="400"/>
      <c r="Q38" s="407"/>
      <c r="R38" s="407"/>
      <c r="S38" s="408"/>
      <c r="T38" s="408"/>
      <c r="U38" s="408"/>
      <c r="V38" s="222"/>
      <c r="W38" s="222"/>
      <c r="X38" s="222"/>
      <c r="Y38" s="224"/>
    </row>
    <row r="39" customFormat="1" ht="18.75" spans="1:25">
      <c r="A39" s="457"/>
      <c r="B39" s="463"/>
      <c r="C39" s="457"/>
      <c r="D39" s="457"/>
      <c r="E39" s="459"/>
      <c r="F39" s="460"/>
      <c r="G39" s="459"/>
      <c r="H39" s="459"/>
      <c r="I39" s="472"/>
      <c r="J39" s="461"/>
      <c r="K39" s="462"/>
      <c r="L39" s="210"/>
      <c r="M39" s="409"/>
      <c r="N39" s="410"/>
      <c r="O39" s="399"/>
      <c r="P39" s="400"/>
      <c r="Q39" s="411"/>
      <c r="R39" s="411"/>
      <c r="S39" s="412"/>
      <c r="T39" s="412"/>
      <c r="U39" s="412"/>
      <c r="V39" s="226"/>
      <c r="W39" s="226"/>
      <c r="X39" s="226"/>
      <c r="Y39" s="228"/>
    </row>
    <row r="40" customFormat="1" ht="15.75" spans="1:25">
      <c r="A40" s="457"/>
      <c r="B40" s="463"/>
      <c r="C40" s="457"/>
      <c r="D40" s="457"/>
      <c r="E40" s="459"/>
      <c r="F40" s="460"/>
      <c r="G40" s="459"/>
      <c r="H40" s="459"/>
      <c r="I40" s="468"/>
      <c r="J40" s="461"/>
      <c r="K40" s="462"/>
      <c r="L40" s="229"/>
      <c r="M40" s="409"/>
      <c r="N40" s="410"/>
      <c r="O40" s="399"/>
      <c r="P40" s="400"/>
      <c r="Q40" s="226"/>
      <c r="R40" s="226"/>
      <c r="S40" s="226"/>
      <c r="T40" s="226"/>
      <c r="U40" s="226"/>
      <c r="V40" s="226"/>
      <c r="W40" s="226"/>
      <c r="X40" s="226"/>
      <c r="Y40" s="228"/>
    </row>
    <row r="41" customFormat="1" ht="15.75" spans="1:25">
      <c r="A41" s="468"/>
      <c r="B41" s="469"/>
      <c r="C41" s="468"/>
      <c r="D41" s="468"/>
      <c r="E41" s="470"/>
      <c r="F41" s="471"/>
      <c r="G41" s="470"/>
      <c r="H41" s="470"/>
      <c r="I41" s="473"/>
      <c r="J41" s="465"/>
      <c r="K41" s="466"/>
      <c r="L41" s="229"/>
      <c r="M41" s="409"/>
      <c r="N41" s="410"/>
      <c r="O41" s="399"/>
      <c r="P41" s="400"/>
      <c r="Q41" s="226"/>
      <c r="R41" s="226"/>
      <c r="S41" s="226"/>
      <c r="T41" s="226"/>
      <c r="U41" s="226"/>
      <c r="V41" s="226"/>
      <c r="W41" s="226"/>
      <c r="X41" s="226"/>
      <c r="Y41" s="228"/>
    </row>
    <row r="42" customFormat="1" ht="18.75" spans="1:25">
      <c r="A42" s="457"/>
      <c r="B42" s="463"/>
      <c r="C42" s="457"/>
      <c r="D42" s="457"/>
      <c r="E42" s="459"/>
      <c r="F42" s="460"/>
      <c r="G42" s="459"/>
      <c r="H42" s="459"/>
      <c r="I42" s="473"/>
      <c r="J42" s="461"/>
      <c r="K42" s="462"/>
      <c r="L42" s="217"/>
      <c r="M42" s="402"/>
      <c r="N42" s="403"/>
      <c r="O42" s="399"/>
      <c r="P42" s="400"/>
      <c r="Q42" s="404"/>
      <c r="R42" s="404"/>
      <c r="S42" s="404"/>
      <c r="T42" s="404"/>
      <c r="U42" s="404"/>
      <c r="V42" s="218"/>
      <c r="W42" s="218"/>
      <c r="X42" s="218"/>
      <c r="Y42" s="220"/>
    </row>
    <row r="43" customFormat="1" ht="18.75" spans="1:25">
      <c r="A43" s="457"/>
      <c r="B43" s="463"/>
      <c r="C43" s="457"/>
      <c r="D43" s="457"/>
      <c r="E43" s="459"/>
      <c r="F43" s="460"/>
      <c r="G43" s="459"/>
      <c r="H43" s="459"/>
      <c r="I43" s="473"/>
      <c r="J43" s="461"/>
      <c r="K43" s="462"/>
      <c r="L43" s="210"/>
      <c r="M43" s="405"/>
      <c r="N43" s="406"/>
      <c r="O43" s="399"/>
      <c r="P43" s="400"/>
      <c r="Q43" s="407"/>
      <c r="R43" s="407"/>
      <c r="S43" s="408"/>
      <c r="T43" s="408"/>
      <c r="U43" s="408"/>
      <c r="V43" s="222"/>
      <c r="W43" s="222"/>
      <c r="X43" s="222"/>
      <c r="Y43" s="224"/>
    </row>
    <row r="44" customFormat="1" ht="18.75" spans="1:25">
      <c r="A44" s="457"/>
      <c r="B44" s="463"/>
      <c r="C44" s="457"/>
      <c r="D44" s="457"/>
      <c r="E44" s="459"/>
      <c r="F44" s="460"/>
      <c r="G44" s="459"/>
      <c r="H44" s="459"/>
      <c r="I44" s="473"/>
      <c r="J44" s="474"/>
      <c r="K44" s="475"/>
      <c r="L44" s="210"/>
      <c r="M44" s="409"/>
      <c r="N44" s="410"/>
      <c r="O44" s="399"/>
      <c r="P44" s="400"/>
      <c r="Q44" s="411"/>
      <c r="R44" s="411"/>
      <c r="S44" s="412"/>
      <c r="T44" s="412"/>
      <c r="U44" s="412"/>
      <c r="V44" s="226"/>
      <c r="W44" s="226"/>
      <c r="X44" s="226"/>
      <c r="Y44" s="228"/>
    </row>
    <row r="45" customFormat="1" ht="15.75" spans="1:25">
      <c r="A45" s="457"/>
      <c r="B45" s="463"/>
      <c r="C45" s="457"/>
      <c r="D45" s="457"/>
      <c r="E45" s="452"/>
      <c r="F45" s="453"/>
      <c r="G45" s="452"/>
      <c r="H45" s="452"/>
      <c r="I45" s="473"/>
      <c r="J45" s="474"/>
      <c r="K45" s="475"/>
      <c r="L45" s="229"/>
      <c r="M45" s="409"/>
      <c r="N45" s="410"/>
      <c r="O45" s="399"/>
      <c r="P45" s="400"/>
      <c r="Q45" s="226"/>
      <c r="R45" s="226"/>
      <c r="S45" s="226"/>
      <c r="T45" s="226"/>
      <c r="U45" s="226"/>
      <c r="V45" s="226"/>
      <c r="W45" s="226"/>
      <c r="X45" s="226"/>
      <c r="Y45" s="228"/>
    </row>
    <row r="46" customFormat="1" ht="15.75" spans="1:25">
      <c r="A46" s="457"/>
      <c r="B46" s="463"/>
      <c r="C46" s="457"/>
      <c r="D46" s="457"/>
      <c r="E46" s="457"/>
      <c r="F46" s="476"/>
      <c r="G46" s="457"/>
      <c r="H46" s="457"/>
      <c r="I46" s="473"/>
      <c r="J46" s="474"/>
      <c r="K46" s="475"/>
      <c r="L46" s="229"/>
      <c r="M46" s="409"/>
      <c r="N46" s="410"/>
      <c r="O46" s="399"/>
      <c r="P46" s="400"/>
      <c r="Q46" s="226"/>
      <c r="R46" s="226"/>
      <c r="S46" s="226"/>
      <c r="T46" s="226"/>
      <c r="U46" s="226"/>
      <c r="V46" s="226"/>
      <c r="W46" s="226"/>
      <c r="X46" s="226"/>
      <c r="Y46" s="228"/>
    </row>
    <row r="47" customFormat="1" ht="15.75" customHeight="1" spans="1:25">
      <c r="A47" s="457"/>
      <c r="B47" s="463"/>
      <c r="C47" s="457"/>
      <c r="D47" s="457"/>
      <c r="E47" s="477"/>
      <c r="F47" s="478"/>
      <c r="G47" s="477"/>
      <c r="H47" s="477"/>
      <c r="I47" s="473"/>
      <c r="J47" s="474"/>
      <c r="K47" s="479"/>
    </row>
    <row r="48" customFormat="1" ht="14.25" customHeight="1" spans="1:25">
      <c r="A48" s="463"/>
      <c r="B48" s="463"/>
      <c r="C48" s="457"/>
      <c r="D48" s="457"/>
      <c r="E48" s="480"/>
      <c r="F48" s="255"/>
      <c r="G48" s="481"/>
      <c r="H48" s="480"/>
      <c r="I48" s="473"/>
      <c r="J48" s="474"/>
      <c r="K48" s="479"/>
    </row>
    <row r="49" customFormat="1" spans="1:11">
      <c r="A49" s="457"/>
      <c r="B49" s="463"/>
      <c r="C49" s="457"/>
      <c r="D49" s="457"/>
      <c r="E49" s="482"/>
      <c r="F49" s="483"/>
      <c r="G49" s="482"/>
      <c r="H49" s="484"/>
      <c r="I49" s="473"/>
      <c r="J49" s="474"/>
      <c r="K49" s="479"/>
    </row>
    <row r="50" customFormat="1" spans="1:11">
      <c r="A50" s="457"/>
      <c r="B50" s="463"/>
      <c r="C50" s="457"/>
      <c r="D50" s="457"/>
      <c r="E50" s="485"/>
      <c r="F50" s="486"/>
      <c r="G50" s="487"/>
      <c r="H50" s="459"/>
      <c r="I50" s="488"/>
      <c r="J50" s="474"/>
      <c r="K50" s="479"/>
    </row>
    <row r="51" ht="16.5" customHeight="1" spans="1:11">
      <c r="A51" s="450"/>
      <c r="B51" s="489"/>
      <c r="C51" s="450"/>
      <c r="D51" s="450"/>
      <c r="E51" s="490"/>
      <c r="F51" s="491"/>
      <c r="G51" s="490"/>
      <c r="H51" s="452"/>
      <c r="I51" s="492"/>
      <c r="J51" s="493"/>
      <c r="K51" s="479"/>
    </row>
    <row r="52" spans="1:11">
      <c r="A52" s="457"/>
      <c r="B52" s="463"/>
      <c r="C52" s="457"/>
      <c r="D52" s="457"/>
      <c r="E52" s="459"/>
      <c r="F52" s="460"/>
      <c r="G52" s="459"/>
      <c r="H52" s="298"/>
      <c r="I52" s="222"/>
      <c r="J52" s="474"/>
      <c r="K52" s="479"/>
    </row>
    <row r="53" customFormat="1" spans="1:11">
      <c r="A53" s="457"/>
      <c r="B53" s="463"/>
      <c r="C53" s="457"/>
      <c r="D53" s="457"/>
      <c r="E53" s="459"/>
      <c r="F53" s="460"/>
      <c r="G53" s="459"/>
      <c r="H53" s="298"/>
      <c r="I53" s="222"/>
      <c r="J53" s="474"/>
      <c r="K53" s="479"/>
    </row>
    <row r="54" spans="1:11">
      <c r="A54" s="457"/>
      <c r="B54" s="463"/>
      <c r="C54" s="457"/>
      <c r="D54" s="457"/>
      <c r="E54" s="459"/>
      <c r="F54" s="460"/>
      <c r="G54" s="494"/>
      <c r="H54" s="494"/>
      <c r="I54" s="222"/>
      <c r="J54" s="474"/>
      <c r="K54" s="479"/>
    </row>
    <row r="55" ht="15.75" spans="1:11">
      <c r="A55" s="457"/>
      <c r="B55" s="463"/>
      <c r="C55" s="457"/>
      <c r="D55" s="457"/>
      <c r="E55" s="459"/>
      <c r="F55" s="460"/>
      <c r="G55" s="495"/>
      <c r="H55" s="495"/>
      <c r="I55" s="222"/>
      <c r="J55" s="474"/>
      <c r="K55" s="479"/>
    </row>
    <row r="56" customFormat="1" ht="18.75" spans="1:11">
      <c r="A56" s="457"/>
      <c r="B56" s="463"/>
      <c r="C56" s="457"/>
      <c r="D56" s="457"/>
      <c r="E56" s="459"/>
      <c r="F56" s="460"/>
      <c r="G56" s="459"/>
      <c r="H56" s="496"/>
      <c r="I56" s="222"/>
      <c r="J56" s="474"/>
      <c r="K56" s="479"/>
    </row>
    <row r="57" customFormat="1" spans="1:11">
      <c r="A57" s="457"/>
      <c r="B57" s="463"/>
      <c r="C57" s="457"/>
      <c r="D57" s="457"/>
      <c r="E57" s="459"/>
      <c r="F57" s="460"/>
      <c r="G57" s="459"/>
      <c r="H57" s="298"/>
      <c r="I57" s="222"/>
      <c r="J57" s="474"/>
      <c r="K57" s="479"/>
    </row>
    <row r="58" customFormat="1" spans="1:11">
      <c r="A58" s="457"/>
      <c r="B58" s="463"/>
      <c r="C58" s="457"/>
      <c r="D58" s="457"/>
      <c r="E58" s="459"/>
      <c r="F58" s="460"/>
      <c r="G58" s="459"/>
      <c r="H58" s="298"/>
      <c r="I58" s="222"/>
      <c r="J58" s="474"/>
      <c r="K58" s="479"/>
    </row>
    <row r="59" customFormat="1" spans="1:11">
      <c r="A59" s="457"/>
      <c r="B59" s="463"/>
      <c r="C59" s="457"/>
      <c r="D59" s="457"/>
      <c r="E59" s="459"/>
      <c r="F59" s="460"/>
      <c r="G59" s="459"/>
      <c r="H59" s="298"/>
      <c r="I59" s="222"/>
      <c r="J59" s="474"/>
      <c r="K59" s="479"/>
    </row>
    <row r="60" customFormat="1" spans="1:11">
      <c r="A60" s="457"/>
      <c r="B60" s="463"/>
      <c r="C60" s="457"/>
      <c r="D60" s="457"/>
      <c r="E60" s="459"/>
      <c r="F60" s="460"/>
      <c r="G60" s="459"/>
      <c r="H60" s="298"/>
      <c r="I60" s="222"/>
      <c r="J60" s="474"/>
      <c r="K60" s="479"/>
    </row>
    <row r="61" customFormat="1" spans="1:11">
      <c r="A61" s="457"/>
      <c r="B61" s="463"/>
      <c r="C61" s="457"/>
      <c r="D61" s="457"/>
      <c r="E61" s="459"/>
      <c r="F61" s="460"/>
      <c r="G61" s="459"/>
      <c r="H61" s="298"/>
      <c r="I61" s="222"/>
      <c r="J61" s="474"/>
      <c r="K61" s="479"/>
    </row>
    <row r="62" customFormat="1" spans="1:11">
      <c r="A62" s="457"/>
      <c r="B62" s="463"/>
      <c r="C62" s="457"/>
      <c r="D62" s="457"/>
      <c r="E62" s="459"/>
      <c r="F62" s="460"/>
      <c r="G62" s="459"/>
      <c r="H62" s="298"/>
      <c r="I62" s="222"/>
      <c r="J62" s="474"/>
      <c r="K62" s="479"/>
    </row>
    <row r="63" customFormat="1" spans="1:11">
      <c r="A63" s="457"/>
      <c r="B63" s="463"/>
      <c r="C63" s="457"/>
      <c r="D63" s="457"/>
      <c r="E63" s="459"/>
      <c r="F63" s="460"/>
      <c r="G63" s="459"/>
      <c r="H63" s="298"/>
      <c r="I63" s="222"/>
      <c r="J63" s="474"/>
      <c r="K63" s="479"/>
    </row>
    <row r="64" customFormat="1" spans="1:11">
      <c r="A64" s="457"/>
      <c r="B64" s="463"/>
      <c r="C64" s="457"/>
      <c r="D64" s="457"/>
      <c r="E64" s="459"/>
      <c r="F64" s="460"/>
      <c r="G64" s="459"/>
      <c r="H64" s="298"/>
      <c r="I64" s="222"/>
      <c r="J64" s="474"/>
      <c r="K64" s="479"/>
    </row>
    <row r="65" customFormat="1" spans="1:11">
      <c r="A65" s="457"/>
      <c r="B65" s="463"/>
      <c r="C65" s="457"/>
      <c r="D65" s="457"/>
      <c r="E65" s="459"/>
      <c r="F65" s="460"/>
      <c r="G65" s="459"/>
      <c r="H65" s="298"/>
      <c r="I65" s="222"/>
      <c r="J65" s="474"/>
      <c r="K65" s="479"/>
    </row>
    <row r="66" customFormat="1" spans="1:11">
      <c r="A66" s="298"/>
      <c r="B66" s="463"/>
      <c r="C66" s="457"/>
      <c r="D66" s="298"/>
      <c r="E66" s="298"/>
      <c r="F66" s="260"/>
      <c r="G66" s="298"/>
      <c r="H66" s="298"/>
      <c r="I66" s="222"/>
      <c r="J66" s="270"/>
    </row>
    <row r="67" customFormat="1" spans="1:11">
      <c r="A67" s="298"/>
      <c r="B67" s="463"/>
      <c r="C67" s="457"/>
      <c r="D67" s="298"/>
      <c r="E67" s="298"/>
      <c r="F67" s="260"/>
      <c r="G67" s="298"/>
      <c r="H67" s="298"/>
      <c r="I67" s="222"/>
      <c r="J67" s="270"/>
    </row>
    <row r="68" customHeight="1" spans="1:11">
      <c r="A68" s="497"/>
      <c r="B68" s="469"/>
      <c r="C68" s="468"/>
      <c r="D68" s="498"/>
      <c r="E68" s="499"/>
      <c r="F68" s="500"/>
      <c r="G68" s="498"/>
      <c r="H68" s="501"/>
      <c r="J68" s="499"/>
    </row>
    <row r="69" ht="15.75" customHeight="1" spans="1:11">
      <c r="A69" s="502"/>
      <c r="B69" s="469"/>
      <c r="C69" s="457"/>
      <c r="D69" s="503"/>
      <c r="E69" s="298"/>
      <c r="F69" s="298"/>
      <c r="G69" s="298"/>
      <c r="H69" s="298"/>
      <c r="J69" s="270"/>
    </row>
    <row r="70" spans="1:11">
      <c r="A70" s="502"/>
      <c r="B70" s="463"/>
      <c r="C70" s="457"/>
      <c r="D70" s="503"/>
      <c r="E70" s="498"/>
      <c r="F70" s="260"/>
      <c r="G70" s="298"/>
      <c r="H70" s="298"/>
      <c r="J70" s="270"/>
    </row>
    <row r="71" spans="1:11">
      <c r="A71" s="502"/>
      <c r="B71" s="463"/>
      <c r="C71" s="457"/>
      <c r="D71" s="503"/>
      <c r="E71" s="499"/>
      <c r="F71" s="500"/>
      <c r="G71" s="504"/>
      <c r="H71" s="298"/>
      <c r="J71" s="505"/>
    </row>
    <row r="72" spans="1:11">
      <c r="A72" s="502"/>
      <c r="B72" s="463"/>
      <c r="C72" s="457"/>
      <c r="D72" s="506"/>
      <c r="E72" s="505"/>
      <c r="F72" s="507"/>
      <c r="G72" s="298"/>
      <c r="H72" s="501"/>
      <c r="J72" s="270"/>
    </row>
    <row r="73" spans="1:11">
      <c r="A73" s="502"/>
      <c r="B73" s="463"/>
      <c r="C73" s="457"/>
      <c r="D73" s="508"/>
      <c r="E73" s="270"/>
      <c r="F73" s="509"/>
      <c r="G73" s="504"/>
      <c r="H73" s="298"/>
      <c r="J73" s="505"/>
    </row>
    <row r="74" spans="1:11">
      <c r="A74" s="502"/>
      <c r="B74" s="463"/>
      <c r="C74" s="457"/>
      <c r="D74" s="270"/>
      <c r="E74" s="270"/>
      <c r="F74" s="260"/>
      <c r="G74" s="504"/>
      <c r="H74" s="501"/>
      <c r="J74" s="270"/>
    </row>
    <row r="75" spans="1:11">
      <c r="A75" s="502"/>
      <c r="B75" s="463"/>
      <c r="C75" s="457"/>
      <c r="D75" s="270"/>
      <c r="E75" s="270"/>
      <c r="F75" s="260"/>
      <c r="G75" s="298"/>
      <c r="H75" s="298"/>
      <c r="J75" s="505"/>
    </row>
    <row r="76" spans="1:11">
      <c r="A76" s="510"/>
      <c r="B76" s="511"/>
      <c r="C76" s="512"/>
      <c r="D76" s="300"/>
      <c r="E76" s="513"/>
      <c r="F76" s="514"/>
      <c r="G76" s="515"/>
      <c r="H76" s="501"/>
      <c r="J76" s="270"/>
    </row>
    <row r="77" spans="1:11">
      <c r="A77" s="516"/>
      <c r="B77" s="469"/>
      <c r="C77" s="468"/>
      <c r="D77" s="517"/>
      <c r="E77" s="518"/>
      <c r="F77" s="517"/>
      <c r="G77" s="517"/>
      <c r="H77" s="298"/>
      <c r="J77" s="513"/>
    </row>
    <row r="78" spans="1:11">
      <c r="A78" s="502"/>
      <c r="B78" s="463"/>
      <c r="C78" s="457"/>
      <c r="D78" s="298"/>
      <c r="E78" s="519"/>
      <c r="F78" s="500"/>
      <c r="G78" s="298"/>
      <c r="H78" s="501"/>
      <c r="J78" s="518"/>
    </row>
    <row r="79" spans="1:11">
      <c r="A79" s="502"/>
      <c r="B79" s="463"/>
      <c r="C79" s="457"/>
      <c r="D79" s="298"/>
      <c r="E79" s="519"/>
      <c r="F79" s="500"/>
      <c r="G79" s="298"/>
      <c r="H79" s="298"/>
      <c r="J79" s="505"/>
    </row>
    <row r="80" spans="1:11">
      <c r="A80" s="502"/>
      <c r="B80" s="463"/>
      <c r="C80" s="457"/>
      <c r="D80" s="298"/>
      <c r="E80" s="467"/>
      <c r="F80" s="500"/>
      <c r="G80" s="298"/>
      <c r="H80" s="501"/>
      <c r="J80" s="270"/>
    </row>
    <row r="81" spans="1:10">
      <c r="A81" s="502"/>
      <c r="B81" s="463"/>
      <c r="C81" s="457"/>
      <c r="D81" s="298"/>
      <c r="E81" s="520"/>
      <c r="F81" s="507"/>
      <c r="G81" s="498"/>
      <c r="H81" s="298"/>
      <c r="J81" s="499"/>
    </row>
    <row r="82" spans="1:10">
      <c r="A82" s="502"/>
      <c r="B82" s="463"/>
      <c r="C82" s="457"/>
      <c r="D82" s="298"/>
      <c r="E82" s="521"/>
      <c r="F82" s="260"/>
      <c r="G82" s="498"/>
      <c r="H82" s="501"/>
      <c r="J82" s="505"/>
    </row>
    <row r="83" spans="1:10">
      <c r="A83" s="522"/>
      <c r="B83" s="463"/>
      <c r="C83" s="457"/>
      <c r="D83" s="270"/>
      <c r="E83" s="464"/>
      <c r="F83" s="507"/>
      <c r="G83" s="523"/>
      <c r="H83" s="298"/>
      <c r="J83" s="270"/>
    </row>
    <row r="84" spans="1:10">
      <c r="A84" s="502"/>
      <c r="B84" s="463"/>
      <c r="C84" s="457"/>
      <c r="D84" s="270"/>
      <c r="E84" s="464"/>
      <c r="F84" s="260"/>
      <c r="G84" s="298"/>
      <c r="H84" s="501"/>
      <c r="J84" s="505"/>
    </row>
    <row r="85" spans="1:10">
      <c r="A85" s="502"/>
      <c r="B85" s="463"/>
      <c r="C85" s="457"/>
      <c r="D85" s="270"/>
      <c r="E85" s="464"/>
      <c r="F85" s="500"/>
      <c r="G85" s="498"/>
      <c r="H85" s="298"/>
      <c r="J85" s="270"/>
    </row>
    <row r="86" spans="1:10">
      <c r="A86" s="510"/>
      <c r="B86" s="524"/>
      <c r="C86" s="525"/>
      <c r="D86" s="300"/>
      <c r="E86" s="526"/>
      <c r="F86" s="527"/>
      <c r="G86" s="515"/>
      <c r="H86" s="298"/>
      <c r="J86" s="499"/>
    </row>
    <row r="87" spans="1:10">
      <c r="A87" s="528"/>
      <c r="B87" s="529"/>
      <c r="C87" s="530"/>
      <c r="D87" s="269"/>
      <c r="E87" s="531"/>
      <c r="F87" s="532"/>
      <c r="G87" s="517"/>
      <c r="H87" s="298"/>
      <c r="J87" s="513"/>
    </row>
    <row r="88" spans="1:10">
      <c r="A88" s="522"/>
      <c r="B88" s="533"/>
      <c r="C88" s="534"/>
      <c r="D88" s="160"/>
      <c r="E88" s="520"/>
      <c r="F88" s="507"/>
      <c r="G88" s="298"/>
      <c r="H88" s="298"/>
      <c r="J88" s="160"/>
    </row>
    <row r="89" spans="1:10">
      <c r="A89" s="502"/>
      <c r="B89" s="463"/>
      <c r="C89" s="535"/>
      <c r="D89" s="271"/>
      <c r="E89" s="521"/>
      <c r="F89" s="260"/>
      <c r="G89" s="298"/>
      <c r="H89" s="498"/>
      <c r="J89" s="271"/>
    </row>
    <row r="90" spans="1:10">
      <c r="A90" s="536"/>
      <c r="B90" s="469"/>
      <c r="C90" s="537"/>
      <c r="D90" s="538"/>
      <c r="E90" s="467"/>
      <c r="F90" s="500"/>
      <c r="G90" s="498"/>
      <c r="H90" s="298"/>
      <c r="J90" s="160"/>
    </row>
    <row r="91" spans="1:10">
      <c r="A91" s="502"/>
      <c r="B91" s="469"/>
      <c r="C91" s="539"/>
      <c r="D91" s="506"/>
      <c r="E91" s="464"/>
      <c r="F91" s="260"/>
      <c r="G91" s="298"/>
      <c r="H91" s="498"/>
      <c r="J91" s="540"/>
    </row>
    <row r="92" spans="1:10">
      <c r="A92" s="541"/>
      <c r="B92" s="542"/>
      <c r="C92" s="543"/>
      <c r="D92" s="544"/>
      <c r="E92" s="545"/>
      <c r="F92" s="546"/>
      <c r="G92" s="542"/>
      <c r="H92" s="298"/>
      <c r="J92" s="270"/>
    </row>
    <row r="93" spans="1:10">
      <c r="A93" s="547"/>
      <c r="B93" s="533"/>
      <c r="C93" s="539"/>
      <c r="D93" s="506"/>
      <c r="E93" s="548"/>
      <c r="F93" s="507"/>
      <c r="G93" s="504"/>
      <c r="H93" s="501"/>
      <c r="J93" s="499"/>
    </row>
    <row r="94" spans="1:10">
      <c r="A94" s="502"/>
      <c r="B94" s="463"/>
      <c r="C94" s="549"/>
      <c r="D94" s="550"/>
      <c r="E94" s="464"/>
      <c r="F94" s="260"/>
      <c r="G94" s="298"/>
      <c r="H94" s="298"/>
      <c r="J94" s="505"/>
    </row>
    <row r="95" spans="1:10">
      <c r="A95" s="536"/>
      <c r="B95" s="469"/>
      <c r="C95" s="551"/>
      <c r="D95" s="552"/>
      <c r="E95" s="467"/>
      <c r="F95" s="500"/>
      <c r="G95" s="498"/>
      <c r="H95" s="298"/>
      <c r="J95" s="270"/>
    </row>
    <row r="96" spans="1:10">
      <c r="A96" s="502"/>
      <c r="B96" s="463"/>
      <c r="C96" s="553"/>
      <c r="D96" s="550"/>
      <c r="E96" s="464"/>
      <c r="F96" s="260"/>
      <c r="G96" s="298"/>
      <c r="H96" s="501"/>
      <c r="J96" s="499"/>
    </row>
    <row r="97" spans="1:10">
      <c r="A97" s="554"/>
      <c r="B97" s="524"/>
      <c r="C97" s="555"/>
      <c r="D97" s="556"/>
      <c r="E97" s="557"/>
      <c r="F97" s="527"/>
      <c r="G97" s="515"/>
      <c r="H97" s="298"/>
      <c r="J97" s="270"/>
    </row>
    <row r="98" spans="1:10">
      <c r="A98" s="536"/>
      <c r="B98" s="469"/>
      <c r="C98" s="551"/>
      <c r="D98" s="552"/>
      <c r="E98" s="467"/>
      <c r="F98" s="500"/>
      <c r="G98" s="498"/>
      <c r="H98" s="498"/>
      <c r="J98" s="499"/>
    </row>
    <row r="99" spans="1:10">
      <c r="A99" s="536"/>
      <c r="B99" s="498"/>
      <c r="C99" s="551"/>
      <c r="D99" s="552"/>
      <c r="E99" s="467"/>
      <c r="F99" s="500"/>
      <c r="G99" s="498"/>
      <c r="H99" s="498"/>
      <c r="J99" s="499"/>
    </row>
    <row r="100" spans="1:10">
      <c r="A100" s="547"/>
      <c r="B100" s="504"/>
      <c r="C100" s="539"/>
      <c r="D100" s="506"/>
      <c r="E100" s="548"/>
      <c r="F100" s="507"/>
      <c r="G100" s="504"/>
      <c r="H100" s="501"/>
      <c r="J100" s="499"/>
    </row>
    <row r="101" spans="1:10">
      <c r="A101" s="502"/>
      <c r="B101" s="298"/>
      <c r="C101" s="549"/>
      <c r="D101" s="550"/>
      <c r="E101" s="558"/>
      <c r="F101" s="260"/>
      <c r="G101" s="298"/>
      <c r="H101" s="298"/>
      <c r="J101" s="505"/>
    </row>
    <row r="102" spans="1:10">
      <c r="A102" s="536"/>
      <c r="B102" s="498"/>
      <c r="C102" s="551"/>
      <c r="D102" s="552"/>
      <c r="E102" s="559"/>
      <c r="F102" s="500"/>
      <c r="G102" s="498"/>
      <c r="H102" s="298"/>
      <c r="J102" s="505"/>
    </row>
    <row r="103" customFormat="1" ht="15.75" spans="1:10">
      <c r="A103" s="547"/>
      <c r="B103" s="504"/>
      <c r="C103" s="539"/>
      <c r="D103" s="560"/>
      <c r="E103" s="561"/>
      <c r="F103" s="527"/>
      <c r="G103" s="515"/>
      <c r="H103" s="498"/>
      <c r="J103" s="505"/>
    </row>
    <row r="104" customFormat="1" ht="15.75" spans="1:10">
      <c r="A104" s="298"/>
      <c r="B104" s="271"/>
      <c r="C104" s="540"/>
      <c r="D104" s="544"/>
      <c r="E104" s="562"/>
      <c r="F104" s="563"/>
      <c r="G104" s="564"/>
      <c r="H104" s="298"/>
      <c r="J104" s="515"/>
    </row>
    <row r="105" customFormat="1" ht="19.5" spans="1:10">
      <c r="A105" s="565"/>
      <c r="B105" s="271"/>
      <c r="C105" s="566"/>
      <c r="D105" s="567"/>
      <c r="E105" s="568"/>
      <c r="F105" s="569"/>
      <c r="G105" s="570"/>
      <c r="H105" s="498"/>
      <c r="I105" s="563"/>
      <c r="J105" s="563"/>
    </row>
    <row r="106" spans="1:10">
      <c r="A106" s="571"/>
      <c r="B106" s="543"/>
      <c r="C106" s="499"/>
      <c r="D106" s="572"/>
      <c r="E106" s="573"/>
      <c r="F106" s="574"/>
      <c r="G106" s="564"/>
      <c r="H106" s="575"/>
      <c r="I106" s="160"/>
      <c r="J106" s="160"/>
    </row>
    <row r="107" spans="1:10">
      <c r="A107" s="501"/>
      <c r="H107" s="501"/>
      <c r="I107" s="300"/>
      <c r="J107" s="300"/>
    </row>
    <row r="108" ht="37.5" customHeight="1"/>
  </sheetData>
  <mergeCells count="35">
    <mergeCell ref="B1:X1"/>
    <mergeCell ref="B2:X2"/>
    <mergeCell ref="B3:X3"/>
    <mergeCell ref="B4:X4"/>
    <mergeCell ref="H5:X5"/>
    <mergeCell ref="I6:J6"/>
    <mergeCell ref="P6:Q6"/>
    <mergeCell ref="C105:D105"/>
    <mergeCell ref="F105:G105"/>
    <mergeCell ref="D106:E106"/>
    <mergeCell ref="A5:A6"/>
    <mergeCell ref="B5:B6"/>
    <mergeCell ref="D5:D6"/>
    <mergeCell ref="E5:E6"/>
    <mergeCell ref="F5:F6"/>
    <mergeCell ref="H6:H7"/>
    <mergeCell ref="I52:I67"/>
    <mergeCell ref="I68:I77"/>
    <mergeCell ref="I78:I86"/>
    <mergeCell ref="I88:I90"/>
    <mergeCell ref="I91:I98"/>
    <mergeCell ref="I99:I104"/>
    <mergeCell ref="K6:K7"/>
    <mergeCell ref="L6:L7"/>
    <mergeCell ref="M6:M7"/>
    <mergeCell ref="N6:N7"/>
    <mergeCell ref="O6:O7"/>
    <mergeCell ref="R6:R7"/>
    <mergeCell ref="S6:S7"/>
    <mergeCell ref="T6:T7"/>
    <mergeCell ref="U6:U7"/>
    <mergeCell ref="V6:V7"/>
    <mergeCell ref="W6:W7"/>
    <mergeCell ref="X6:X7"/>
    <mergeCell ref="Y5:Y6"/>
  </mergeCells>
  <pageMargins left="0.708661417322835" right="0.708661417322835" top="0.748031496062992" bottom="0.748031496062992" header="0.31496062992126" footer="0.31496062992126"/>
  <pageSetup paperSize="11" scale="55" orientation="portrait"/>
  <headerFooter/>
  <rowBreaks count="1" manualBreakCount="1">
    <brk id="67" max="9"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36"/>
  <sheetViews>
    <sheetView workbookViewId="0">
      <selection activeCell="A8" sqref="A8"/>
    </sheetView>
  </sheetViews>
  <sheetFormatPr defaultColWidth="9" defaultRowHeight="15"/>
  <cols>
    <col min="1" max="1" width="14.5714285714286" customWidth="1"/>
    <col min="2" max="2" width="12.8571428571429" customWidth="1"/>
    <col min="3" max="3" width="14.1428571428571" customWidth="1"/>
    <col min="4" max="4" width="16" customWidth="1"/>
    <col min="5" max="5" width="24.8571428571429" customWidth="1"/>
    <col min="6" max="6" width="33.1428571428571" customWidth="1"/>
    <col min="7" max="7" width="27.7142857142857" customWidth="1"/>
    <col min="8" max="8" width="18.1428571428571" customWidth="1"/>
    <col min="9" max="9" width="22" customWidth="1"/>
    <col min="10" max="10" width="20.8571428571429" customWidth="1"/>
    <col min="11" max="11" width="19" customWidth="1"/>
    <col min="12" max="12" width="12.8571428571429" customWidth="1"/>
    <col min="13" max="13" width="26.1428571428571" customWidth="1"/>
  </cols>
  <sheetData>
    <row r="1" ht="26.25" spans="1:13">
      <c r="A1" s="157"/>
      <c r="B1" s="158" t="s">
        <v>0</v>
      </c>
      <c r="C1" s="159"/>
      <c r="D1" s="159"/>
      <c r="E1" s="159"/>
      <c r="F1" s="159"/>
      <c r="G1" s="159"/>
      <c r="H1" s="159"/>
      <c r="I1" s="159"/>
      <c r="J1" s="159"/>
      <c r="K1" s="159"/>
      <c r="L1" s="284"/>
      <c r="M1" s="161"/>
    </row>
    <row r="2" ht="23.25" spans="1:13">
      <c r="A2" s="162"/>
      <c r="B2" s="163" t="s">
        <v>1</v>
      </c>
      <c r="C2" s="164"/>
      <c r="D2" s="164"/>
      <c r="E2" s="164"/>
      <c r="F2" s="164"/>
      <c r="G2" s="164"/>
      <c r="H2" s="164"/>
      <c r="I2" s="164"/>
      <c r="J2" s="164"/>
      <c r="K2" s="164"/>
      <c r="L2" s="285"/>
      <c r="M2" s="166"/>
    </row>
    <row r="3" ht="26.25" spans="1:13">
      <c r="A3" s="162"/>
      <c r="B3" s="167" t="s">
        <v>78</v>
      </c>
      <c r="C3" s="168"/>
      <c r="D3" s="168"/>
      <c r="E3" s="168"/>
      <c r="F3" s="168"/>
      <c r="G3" s="168"/>
      <c r="H3" s="168"/>
      <c r="I3" s="168"/>
      <c r="J3" s="168"/>
      <c r="K3" s="168"/>
      <c r="L3" s="286"/>
      <c r="M3" s="166"/>
    </row>
    <row r="4" ht="24" spans="1:13">
      <c r="A4" s="170"/>
      <c r="B4" s="171" t="s">
        <v>3</v>
      </c>
      <c r="C4" s="172"/>
      <c r="D4" s="172"/>
      <c r="E4" s="172"/>
      <c r="F4" s="172"/>
      <c r="G4" s="172"/>
      <c r="H4" s="172"/>
      <c r="I4" s="172"/>
      <c r="J4" s="172"/>
      <c r="K4" s="172"/>
      <c r="L4" s="287"/>
      <c r="M4" s="174"/>
    </row>
    <row r="5" ht="15.75" spans="1:13">
      <c r="A5" s="175" t="s">
        <v>4</v>
      </c>
      <c r="B5" s="176" t="s">
        <v>79</v>
      </c>
      <c r="C5" s="176" t="s">
        <v>6</v>
      </c>
      <c r="D5" s="176" t="s">
        <v>7</v>
      </c>
      <c r="E5" s="177" t="s">
        <v>8</v>
      </c>
      <c r="F5" s="177" t="s">
        <v>9</v>
      </c>
      <c r="G5" s="177" t="s">
        <v>10</v>
      </c>
      <c r="H5" s="177" t="s">
        <v>11</v>
      </c>
      <c r="I5" s="288" t="s">
        <v>12</v>
      </c>
      <c r="J5" s="289"/>
      <c r="K5" s="289"/>
      <c r="L5" s="182"/>
      <c r="M5" s="180" t="s">
        <v>13</v>
      </c>
    </row>
    <row r="6" ht="31.5" spans="1:13">
      <c r="A6" s="181"/>
      <c r="B6" s="182"/>
      <c r="C6" s="182"/>
      <c r="D6" s="182"/>
      <c r="E6" s="183"/>
      <c r="F6" s="183"/>
      <c r="G6" s="183"/>
      <c r="H6" s="183" t="s">
        <v>14</v>
      </c>
      <c r="I6" s="177" t="s">
        <v>80</v>
      </c>
      <c r="J6" s="290" t="s">
        <v>80</v>
      </c>
      <c r="K6" s="291" t="s">
        <v>81</v>
      </c>
      <c r="L6" s="292" t="s">
        <v>82</v>
      </c>
      <c r="M6" s="188"/>
    </row>
    <row r="7" ht="18.75" spans="1:13">
      <c r="A7" s="189"/>
      <c r="B7" s="190"/>
      <c r="C7" s="190"/>
      <c r="D7" s="190"/>
      <c r="E7" s="190"/>
      <c r="F7" s="190"/>
      <c r="G7" s="190"/>
      <c r="H7" s="191"/>
      <c r="I7" s="183" t="s">
        <v>83</v>
      </c>
      <c r="J7" s="192" t="s">
        <v>84</v>
      </c>
      <c r="K7" s="193" t="s">
        <v>85</v>
      </c>
      <c r="L7" s="292"/>
      <c r="M7" s="195"/>
    </row>
    <row r="8" ht="15.75" spans="1:13">
      <c r="A8" s="196" t="s">
        <v>86</v>
      </c>
      <c r="B8" s="197"/>
      <c r="C8" s="198">
        <v>45658</v>
      </c>
      <c r="D8" s="199" t="s">
        <v>31</v>
      </c>
      <c r="E8" s="199" t="s">
        <v>32</v>
      </c>
      <c r="F8" s="199" t="s">
        <v>33</v>
      </c>
      <c r="G8" s="199" t="s">
        <v>87</v>
      </c>
      <c r="H8" s="199" t="s">
        <v>34</v>
      </c>
      <c r="I8" s="199"/>
      <c r="J8" s="199"/>
      <c r="K8" s="199"/>
      <c r="L8" s="199"/>
      <c r="M8" s="201" t="s">
        <v>35</v>
      </c>
    </row>
    <row r="9" ht="15.75" spans="1:13">
      <c r="A9" s="196" t="s">
        <v>88</v>
      </c>
      <c r="B9" s="197"/>
      <c r="C9" s="202"/>
      <c r="D9" s="199"/>
      <c r="E9" s="199"/>
      <c r="F9" s="199"/>
      <c r="G9" s="199"/>
      <c r="H9" s="199"/>
      <c r="I9" s="199"/>
      <c r="J9" s="199"/>
      <c r="K9" s="199"/>
      <c r="L9" s="199"/>
      <c r="M9" s="201" t="s">
        <v>37</v>
      </c>
    </row>
    <row r="10" ht="18.75" spans="1:13">
      <c r="A10" s="196" t="s">
        <v>89</v>
      </c>
      <c r="B10" s="197"/>
      <c r="C10" s="202"/>
      <c r="D10" s="199"/>
      <c r="E10" s="199"/>
      <c r="F10" s="199"/>
      <c r="G10" s="199"/>
      <c r="H10" s="199"/>
      <c r="I10" s="199"/>
      <c r="J10" s="203"/>
      <c r="K10" s="204"/>
      <c r="L10" s="205"/>
      <c r="M10" s="207" t="s">
        <v>39</v>
      </c>
    </row>
    <row r="11" ht="18.75" spans="1:13">
      <c r="A11" s="196" t="s">
        <v>90</v>
      </c>
      <c r="B11" s="197"/>
      <c r="C11" s="202"/>
      <c r="D11" s="199"/>
      <c r="E11" s="199"/>
      <c r="F11" s="199"/>
      <c r="G11" s="199"/>
      <c r="H11" s="199"/>
      <c r="I11" s="208"/>
      <c r="J11" s="209"/>
      <c r="K11" s="210"/>
      <c r="L11" s="205"/>
      <c r="M11" s="212" t="s">
        <v>41</v>
      </c>
    </row>
    <row r="12" ht="18.75" spans="1:13">
      <c r="A12" s="196" t="s">
        <v>91</v>
      </c>
      <c r="B12" s="197"/>
      <c r="C12" s="213"/>
      <c r="D12" s="199"/>
      <c r="E12" s="199"/>
      <c r="F12" s="199"/>
      <c r="G12" s="199"/>
      <c r="H12" s="214"/>
      <c r="I12" s="215"/>
      <c r="J12" s="216"/>
      <c r="K12" s="217"/>
      <c r="L12" s="218"/>
      <c r="M12" s="220" t="s">
        <v>43</v>
      </c>
    </row>
    <row r="13" ht="15.75" spans="1:13">
      <c r="A13" s="196" t="s">
        <v>92</v>
      </c>
      <c r="B13" s="197"/>
      <c r="C13" s="213"/>
      <c r="D13" s="199"/>
      <c r="E13" s="199"/>
      <c r="F13" s="199"/>
      <c r="G13" s="199"/>
      <c r="H13" s="199"/>
      <c r="I13" s="208"/>
      <c r="J13" s="221"/>
      <c r="K13" s="210"/>
      <c r="L13" s="222"/>
      <c r="M13" s="224" t="s">
        <v>45</v>
      </c>
    </row>
    <row r="14" customFormat="1" ht="18.75" customHeight="1" spans="1:13">
      <c r="A14" s="225" t="s">
        <v>46</v>
      </c>
      <c r="B14" s="197"/>
      <c r="C14" s="213"/>
      <c r="D14" s="199"/>
      <c r="E14" s="199"/>
      <c r="F14" s="199"/>
      <c r="G14" s="199"/>
      <c r="H14" s="199"/>
      <c r="I14" s="208"/>
      <c r="J14" s="221"/>
      <c r="K14" s="210"/>
      <c r="L14" s="226"/>
      <c r="M14" s="228" t="s">
        <v>47</v>
      </c>
    </row>
    <row r="15" customFormat="1" ht="18.75" customHeight="1" spans="1:13">
      <c r="A15" s="225" t="s">
        <v>48</v>
      </c>
      <c r="B15" s="197"/>
      <c r="C15" s="213"/>
      <c r="D15" s="199"/>
      <c r="E15" s="199"/>
      <c r="F15" s="199"/>
      <c r="G15" s="199"/>
      <c r="H15" s="199"/>
      <c r="I15" s="208"/>
      <c r="J15" s="221"/>
      <c r="K15" s="229"/>
      <c r="L15" s="226"/>
      <c r="M15" s="228"/>
    </row>
    <row r="16" ht="17.25" customHeight="1" spans="1:13">
      <c r="A16" s="230" t="s">
        <v>49</v>
      </c>
      <c r="B16" s="197"/>
      <c r="C16" s="213"/>
      <c r="D16" s="199"/>
      <c r="E16" s="199"/>
      <c r="F16" s="199"/>
      <c r="G16" s="199"/>
      <c r="H16" s="199"/>
      <c r="I16" s="208"/>
      <c r="J16" s="221"/>
      <c r="K16" s="229"/>
      <c r="L16" s="226"/>
      <c r="M16" s="228"/>
    </row>
    <row r="17" customFormat="1" ht="17.25" customHeight="1" spans="1:13">
      <c r="A17" s="231"/>
      <c r="B17" s="232"/>
      <c r="C17" s="213"/>
      <c r="D17" s="199"/>
      <c r="E17" s="199"/>
      <c r="F17" s="199"/>
      <c r="G17" s="199"/>
      <c r="H17" s="199"/>
      <c r="I17" s="208"/>
      <c r="J17" s="221"/>
      <c r="K17" s="229"/>
      <c r="L17" s="226"/>
      <c r="M17" s="234" t="s">
        <v>50</v>
      </c>
    </row>
    <row r="18" ht="15.75" spans="1:13">
      <c r="A18" s="235"/>
      <c r="B18" s="236"/>
      <c r="C18" s="237"/>
      <c r="D18" s="237"/>
      <c r="E18" s="237"/>
      <c r="F18" s="238"/>
      <c r="G18" s="239"/>
      <c r="H18" s="240"/>
      <c r="I18" s="240"/>
      <c r="J18" s="239"/>
      <c r="K18" s="240"/>
      <c r="L18" s="226"/>
      <c r="M18" s="242" t="s">
        <v>51</v>
      </c>
    </row>
    <row r="19" ht="15.75" spans="1:13">
      <c r="A19" s="243"/>
      <c r="B19" s="244"/>
      <c r="C19" s="245"/>
      <c r="D19" s="245"/>
      <c r="E19" s="245"/>
      <c r="F19" s="246"/>
      <c r="G19" s="247"/>
      <c r="H19" s="248"/>
      <c r="I19" s="248"/>
      <c r="J19" s="247"/>
      <c r="K19" s="248"/>
      <c r="L19" s="226"/>
      <c r="M19" s="250" t="s">
        <v>52</v>
      </c>
    </row>
    <row r="20" ht="18.75" spans="1:13">
      <c r="A20" s="251"/>
      <c r="B20" s="251"/>
      <c r="C20" s="252"/>
      <c r="D20" s="253"/>
      <c r="E20" s="253"/>
      <c r="F20" s="254"/>
      <c r="G20" s="255"/>
      <c r="H20" s="256"/>
      <c r="I20" s="257"/>
      <c r="J20" s="258"/>
      <c r="K20" s="257"/>
      <c r="L20" s="226"/>
      <c r="M20" s="234" t="s">
        <v>53</v>
      </c>
    </row>
    <row r="21" ht="18.75" spans="1:13">
      <c r="A21" s="251"/>
      <c r="B21" s="251"/>
      <c r="C21" s="252"/>
      <c r="D21" s="253"/>
      <c r="E21" s="253"/>
      <c r="F21" s="254"/>
      <c r="G21" s="255"/>
      <c r="H21" s="256"/>
      <c r="I21" s="257"/>
      <c r="J21" s="258"/>
      <c r="K21" s="257"/>
      <c r="L21" s="226"/>
      <c r="M21" s="234" t="s">
        <v>54</v>
      </c>
    </row>
    <row r="22" ht="18.75" spans="1:13">
      <c r="A22" s="251"/>
      <c r="B22" s="251"/>
      <c r="C22" s="252"/>
      <c r="D22" s="253"/>
      <c r="E22" s="253"/>
      <c r="F22" s="254"/>
      <c r="G22" s="255"/>
      <c r="H22" s="256"/>
      <c r="I22" s="257"/>
      <c r="J22" s="258"/>
      <c r="K22" s="257"/>
      <c r="L22" s="226"/>
      <c r="M22" s="234" t="s">
        <v>55</v>
      </c>
    </row>
    <row r="23" ht="18.75" spans="1:13">
      <c r="A23" s="251"/>
      <c r="B23" s="251"/>
      <c r="C23" s="252"/>
      <c r="D23" s="253"/>
      <c r="E23" s="253"/>
      <c r="F23" s="254"/>
      <c r="G23" s="255"/>
      <c r="H23" s="256"/>
      <c r="I23" s="257"/>
      <c r="J23" s="258"/>
      <c r="K23" s="257"/>
      <c r="L23" s="226"/>
      <c r="M23" s="228"/>
    </row>
    <row r="24" ht="18.75" spans="1:13">
      <c r="A24" s="251"/>
      <c r="B24" s="251"/>
      <c r="C24" s="252"/>
      <c r="D24" s="253"/>
      <c r="E24" s="253"/>
      <c r="F24" s="254"/>
      <c r="G24" s="255"/>
      <c r="H24" s="256"/>
      <c r="I24" s="257"/>
      <c r="J24" s="258"/>
      <c r="K24" s="257"/>
      <c r="L24" s="226"/>
      <c r="M24" s="228"/>
    </row>
    <row r="25" ht="18.75" spans="1:13">
      <c r="A25" s="251"/>
      <c r="B25" s="251"/>
      <c r="C25" s="252"/>
      <c r="D25" s="253"/>
      <c r="E25" s="253"/>
      <c r="F25" s="254"/>
      <c r="G25" s="255"/>
      <c r="H25" s="256"/>
      <c r="I25" s="257"/>
      <c r="J25" s="258"/>
      <c r="K25" s="257"/>
      <c r="L25" s="226"/>
      <c r="M25" s="228"/>
    </row>
    <row r="26" ht="18.75" spans="1:13">
      <c r="A26" s="251"/>
      <c r="B26" s="251"/>
      <c r="C26" s="252"/>
      <c r="D26" s="253"/>
      <c r="E26" s="253"/>
      <c r="F26" s="254"/>
      <c r="G26" s="255"/>
      <c r="H26" s="256"/>
      <c r="I26" s="257"/>
      <c r="J26" s="258"/>
      <c r="K26" s="257"/>
      <c r="L26" s="226"/>
      <c r="M26" s="228"/>
    </row>
    <row r="27" ht="18.75" spans="1:13">
      <c r="A27" s="251"/>
      <c r="B27" s="251"/>
      <c r="C27" s="252"/>
      <c r="D27" s="253"/>
      <c r="E27" s="253"/>
      <c r="F27" s="254"/>
      <c r="G27" s="255"/>
      <c r="H27" s="256"/>
      <c r="I27" s="257"/>
      <c r="J27" s="258"/>
      <c r="K27" s="257"/>
      <c r="L27" s="226"/>
      <c r="M27" s="228"/>
    </row>
    <row r="28" ht="18.75" spans="1:13">
      <c r="A28" s="251"/>
      <c r="B28" s="251"/>
      <c r="C28" s="252"/>
      <c r="D28" s="253"/>
      <c r="E28" s="253"/>
      <c r="F28" s="254"/>
      <c r="G28" s="255"/>
      <c r="H28" s="256"/>
      <c r="I28" s="257"/>
      <c r="J28" s="258"/>
      <c r="K28" s="257"/>
      <c r="L28" s="226"/>
      <c r="M28" s="228"/>
    </row>
    <row r="29" ht="18.75" spans="1:13">
      <c r="A29" s="251"/>
      <c r="B29" s="251"/>
      <c r="C29" s="252"/>
      <c r="D29" s="253"/>
      <c r="E29" s="253"/>
      <c r="F29" s="259"/>
      <c r="G29" s="260"/>
      <c r="H29" s="261"/>
      <c r="I29" s="257"/>
      <c r="J29" s="258"/>
      <c r="K29" s="257"/>
      <c r="L29" s="226"/>
      <c r="M29" s="228"/>
    </row>
    <row r="30" ht="18.75" spans="1:13">
      <c r="A30" s="251"/>
      <c r="B30" s="251"/>
      <c r="C30" s="252"/>
      <c r="D30" s="253"/>
      <c r="E30" s="253"/>
      <c r="F30" s="259"/>
      <c r="G30" s="260"/>
      <c r="H30" s="261"/>
      <c r="I30" s="257"/>
      <c r="J30" s="258"/>
      <c r="K30" s="257"/>
      <c r="L30" s="226"/>
      <c r="M30" s="228"/>
    </row>
    <row r="31" customFormat="1" ht="18.75" spans="1:13">
      <c r="A31" s="251"/>
      <c r="B31" s="251"/>
      <c r="C31" s="252"/>
      <c r="D31" s="253"/>
      <c r="E31" s="253"/>
      <c r="F31" s="259"/>
      <c r="G31" s="260"/>
      <c r="H31" s="261"/>
      <c r="I31" s="257"/>
      <c r="J31" s="258"/>
      <c r="K31" s="257"/>
      <c r="L31" s="226"/>
      <c r="M31" s="228"/>
    </row>
    <row r="32" ht="18.75" spans="1:13">
      <c r="A32" s="253"/>
      <c r="B32" s="253"/>
      <c r="C32" s="252"/>
      <c r="D32" s="253"/>
      <c r="E32" s="253"/>
      <c r="F32" s="259"/>
      <c r="G32" s="260"/>
      <c r="H32" s="261"/>
      <c r="I32" s="257"/>
      <c r="J32" s="258"/>
      <c r="K32" s="257"/>
      <c r="L32" s="226"/>
      <c r="M32" s="228"/>
    </row>
    <row r="33" ht="19.5" spans="1:13">
      <c r="A33" s="262"/>
      <c r="B33" s="262"/>
      <c r="C33" s="262"/>
      <c r="D33" s="263"/>
      <c r="E33" s="263"/>
      <c r="F33" s="263"/>
      <c r="G33" s="264"/>
      <c r="H33" s="265"/>
      <c r="I33" s="266"/>
      <c r="J33" s="267"/>
      <c r="K33" s="268"/>
      <c r="L33" s="226"/>
      <c r="M33" s="228"/>
    </row>
    <row r="34" spans="1:13">
      <c r="C34" s="269"/>
      <c r="D34" s="270"/>
      <c r="E34" s="271"/>
      <c r="F34" s="271"/>
      <c r="G34" s="271"/>
      <c r="H34" s="271"/>
      <c r="I34" s="271"/>
      <c r="J34" s="271"/>
      <c r="K34" s="271"/>
    </row>
    <row r="35" ht="21" spans="1:13">
      <c r="C35" s="272"/>
      <c r="D35" s="270"/>
      <c r="E35" s="271"/>
      <c r="F35" s="271"/>
      <c r="G35" s="273"/>
      <c r="H35" s="271"/>
      <c r="I35" s="271"/>
      <c r="J35" s="271"/>
      <c r="K35" s="274"/>
    </row>
    <row r="36" ht="18.75" spans="1:13">
      <c r="G36" s="275"/>
    </row>
  </sheetData>
  <mergeCells count="13">
    <mergeCell ref="B1:L1"/>
    <mergeCell ref="B2:L2"/>
    <mergeCell ref="B3:L3"/>
    <mergeCell ref="B4:L4"/>
    <mergeCell ref="I5:L5"/>
    <mergeCell ref="A5:A6"/>
    <mergeCell ref="B5:B6"/>
    <mergeCell ref="C5:C6"/>
    <mergeCell ref="E5:E6"/>
    <mergeCell ref="F5:F6"/>
    <mergeCell ref="G5:G6"/>
    <mergeCell ref="L6:L7"/>
    <mergeCell ref="M5:M6"/>
  </mergeCells>
  <pageMargins left="0.7" right="0.7" top="0.75" bottom="0.75" header="0.3" footer="0.3"/>
  <pageSetup paperSize="9" scale="71" orientation="landscape"/>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216"/>
  <sheetViews>
    <sheetView workbookViewId="0">
      <selection activeCell="C13" sqref="C13"/>
    </sheetView>
  </sheetViews>
  <sheetFormatPr defaultColWidth="9" defaultRowHeight="15"/>
  <cols>
    <col min="1" max="1" width="16.5714285714286" customWidth="1"/>
    <col min="2" max="2" width="12.1428571428571" customWidth="1"/>
    <col min="3" max="3" width="15" customWidth="1"/>
    <col min="4" max="4" width="17" customWidth="1"/>
    <col min="5" max="5" width="24.5714285714286" customWidth="1"/>
    <col min="6" max="6" width="30.4285714285714" customWidth="1"/>
    <col min="7" max="7" width="22.8571428571429" customWidth="1"/>
    <col min="8" max="8" width="17.4285714285714" customWidth="1"/>
    <col min="9" max="9" width="15.1428571428571" customWidth="1"/>
    <col min="10" max="10" width="16.5714285714286" customWidth="1"/>
    <col min="11" max="11" width="16.7142857142857" customWidth="1"/>
    <col min="13" max="13" width="25.5714285714286" customWidth="1"/>
  </cols>
  <sheetData>
    <row r="1" ht="26.25" spans="1:13">
      <c r="A1" s="157"/>
      <c r="B1" s="158" t="s">
        <v>0</v>
      </c>
      <c r="C1" s="159"/>
      <c r="D1" s="159"/>
      <c r="E1" s="159"/>
      <c r="F1" s="159"/>
      <c r="G1" s="159"/>
      <c r="H1" s="159"/>
      <c r="I1" s="159"/>
      <c r="J1" s="159"/>
      <c r="K1" s="159"/>
      <c r="L1" s="284"/>
      <c r="M1" s="161"/>
    </row>
    <row r="2" ht="23.25" spans="1:13">
      <c r="A2" s="162"/>
      <c r="B2" s="163" t="s">
        <v>1</v>
      </c>
      <c r="C2" s="164"/>
      <c r="D2" s="164"/>
      <c r="E2" s="164"/>
      <c r="F2" s="164"/>
      <c r="G2" s="164"/>
      <c r="H2" s="164"/>
      <c r="I2" s="164"/>
      <c r="J2" s="164"/>
      <c r="K2" s="164"/>
      <c r="L2" s="285"/>
      <c r="M2" s="166"/>
    </row>
    <row r="3" ht="26.25" spans="1:13">
      <c r="A3" s="162"/>
      <c r="B3" s="167" t="s">
        <v>93</v>
      </c>
      <c r="C3" s="168"/>
      <c r="D3" s="168"/>
      <c r="E3" s="168"/>
      <c r="F3" s="168"/>
      <c r="G3" s="168"/>
      <c r="H3" s="168"/>
      <c r="I3" s="168"/>
      <c r="J3" s="168"/>
      <c r="K3" s="168"/>
      <c r="L3" s="286"/>
      <c r="M3" s="166"/>
    </row>
    <row r="4" ht="24" spans="1:13">
      <c r="A4" s="170"/>
      <c r="B4" s="171" t="s">
        <v>3</v>
      </c>
      <c r="C4" s="172"/>
      <c r="D4" s="172"/>
      <c r="E4" s="172"/>
      <c r="F4" s="172"/>
      <c r="G4" s="172"/>
      <c r="H4" s="172"/>
      <c r="I4" s="172"/>
      <c r="J4" s="172"/>
      <c r="K4" s="172"/>
      <c r="L4" s="287"/>
      <c r="M4" s="174"/>
    </row>
    <row r="5" ht="15.75" spans="1:13">
      <c r="A5" s="175" t="s">
        <v>4</v>
      </c>
      <c r="B5" s="176" t="s">
        <v>79</v>
      </c>
      <c r="C5" s="176" t="s">
        <v>6</v>
      </c>
      <c r="D5" s="176" t="s">
        <v>7</v>
      </c>
      <c r="E5" s="177" t="s">
        <v>8</v>
      </c>
      <c r="F5" s="177" t="s">
        <v>9</v>
      </c>
      <c r="G5" s="177" t="s">
        <v>10</v>
      </c>
      <c r="H5" s="177" t="s">
        <v>11</v>
      </c>
      <c r="I5" s="288" t="s">
        <v>12</v>
      </c>
      <c r="J5" s="289"/>
      <c r="K5" s="289"/>
      <c r="L5" s="182"/>
      <c r="M5" s="180" t="s">
        <v>13</v>
      </c>
    </row>
    <row r="6" ht="31.5" spans="1:13">
      <c r="A6" s="181"/>
      <c r="B6" s="182"/>
      <c r="C6" s="182"/>
      <c r="D6" s="182"/>
      <c r="E6" s="183"/>
      <c r="F6" s="183"/>
      <c r="G6" s="183"/>
      <c r="H6" s="183" t="s">
        <v>14</v>
      </c>
      <c r="I6" s="177" t="s">
        <v>94</v>
      </c>
      <c r="J6" s="290" t="s">
        <v>95</v>
      </c>
      <c r="K6" s="291" t="s">
        <v>96</v>
      </c>
      <c r="L6" s="292" t="s">
        <v>82</v>
      </c>
      <c r="M6" s="188"/>
    </row>
    <row r="7" ht="18.75" spans="1:13">
      <c r="A7" s="189"/>
      <c r="B7" s="190"/>
      <c r="C7" s="190"/>
      <c r="D7" s="190"/>
      <c r="E7" s="190"/>
      <c r="F7" s="190"/>
      <c r="G7" s="190"/>
      <c r="H7" s="191"/>
      <c r="I7" s="293" t="s">
        <v>97</v>
      </c>
      <c r="J7" s="294"/>
      <c r="K7" s="295"/>
      <c r="L7" s="292"/>
      <c r="M7" s="195"/>
    </row>
    <row r="8" customFormat="1" ht="15.75" spans="1:13">
      <c r="A8" s="196" t="s">
        <v>98</v>
      </c>
      <c r="B8" s="197"/>
      <c r="C8" s="198">
        <v>45658</v>
      </c>
      <c r="D8" s="199" t="s">
        <v>31</v>
      </c>
      <c r="E8" s="199" t="s">
        <v>32</v>
      </c>
      <c r="F8" s="199" t="s">
        <v>33</v>
      </c>
      <c r="G8" s="199" t="s">
        <v>99</v>
      </c>
      <c r="H8" s="199" t="s">
        <v>34</v>
      </c>
      <c r="I8" s="199"/>
      <c r="J8" s="199"/>
      <c r="K8" s="199"/>
      <c r="L8" s="199"/>
      <c r="M8" s="201" t="s">
        <v>35</v>
      </c>
    </row>
    <row r="9" customFormat="1" ht="15.75" spans="1:13">
      <c r="A9" s="196" t="s">
        <v>100</v>
      </c>
      <c r="B9" s="197"/>
      <c r="C9" s="202"/>
      <c r="D9" s="199"/>
      <c r="E9" s="199"/>
      <c r="F9" s="199"/>
      <c r="G9" s="199"/>
      <c r="H9" s="199"/>
      <c r="I9" s="199"/>
      <c r="J9" s="199"/>
      <c r="K9" s="199"/>
      <c r="L9" s="199"/>
      <c r="M9" s="201" t="s">
        <v>37</v>
      </c>
    </row>
    <row r="10" customFormat="1" ht="18.75" spans="1:13">
      <c r="A10" s="196" t="s">
        <v>101</v>
      </c>
      <c r="B10" s="197"/>
      <c r="C10" s="202"/>
      <c r="D10" s="199"/>
      <c r="E10" s="199"/>
      <c r="F10" s="199"/>
      <c r="G10" s="199"/>
      <c r="H10" s="199"/>
      <c r="I10" s="199"/>
      <c r="J10" s="203"/>
      <c r="K10" s="204"/>
      <c r="L10" s="205"/>
      <c r="M10" s="207" t="s">
        <v>39</v>
      </c>
    </row>
    <row r="11" customFormat="1" ht="18.75" spans="1:13">
      <c r="A11" s="196" t="s">
        <v>102</v>
      </c>
      <c r="B11" s="197"/>
      <c r="C11" s="202"/>
      <c r="D11" s="199"/>
      <c r="E11" s="199"/>
      <c r="F11" s="199"/>
      <c r="G11" s="199"/>
      <c r="H11" s="199"/>
      <c r="I11" s="208"/>
      <c r="J11" s="209"/>
      <c r="K11" s="210"/>
      <c r="L11" s="205"/>
      <c r="M11" s="212" t="s">
        <v>41</v>
      </c>
    </row>
    <row r="12" customFormat="1" ht="18.75" spans="1:13">
      <c r="A12" s="196" t="s">
        <v>103</v>
      </c>
      <c r="B12" s="197"/>
      <c r="C12" s="213"/>
      <c r="D12" s="199"/>
      <c r="E12" s="199"/>
      <c r="F12" s="199"/>
      <c r="G12" s="199"/>
      <c r="H12" s="214"/>
      <c r="I12" s="215"/>
      <c r="J12" s="216"/>
      <c r="K12" s="217"/>
      <c r="L12" s="218"/>
      <c r="M12" s="220" t="s">
        <v>43</v>
      </c>
    </row>
    <row r="13" customFormat="1" ht="15.75" spans="1:13">
      <c r="A13" s="196" t="s">
        <v>104</v>
      </c>
      <c r="B13" s="197"/>
      <c r="C13" s="213"/>
      <c r="D13" s="199"/>
      <c r="E13" s="199"/>
      <c r="F13" s="199"/>
      <c r="G13" s="199"/>
      <c r="H13" s="199"/>
      <c r="I13" s="208"/>
      <c r="J13" s="221"/>
      <c r="K13" s="210"/>
      <c r="L13" s="222"/>
      <c r="M13" s="224" t="s">
        <v>45</v>
      </c>
    </row>
    <row r="14" customFormat="1" ht="15.75" spans="1:13">
      <c r="A14" s="225" t="s">
        <v>46</v>
      </c>
      <c r="B14" s="197"/>
      <c r="C14" s="213"/>
      <c r="D14" s="199"/>
      <c r="E14" s="199"/>
      <c r="F14" s="199"/>
      <c r="G14" s="199"/>
      <c r="H14" s="199"/>
      <c r="I14" s="208"/>
      <c r="J14" s="221"/>
      <c r="K14" s="210"/>
      <c r="L14" s="226"/>
      <c r="M14" s="228" t="s">
        <v>47</v>
      </c>
    </row>
    <row r="15" customFormat="1" ht="15.75" spans="1:13">
      <c r="A15" s="225" t="s">
        <v>48</v>
      </c>
      <c r="B15" s="197"/>
      <c r="C15" s="213"/>
      <c r="D15" s="199"/>
      <c r="E15" s="199"/>
      <c r="F15" s="199"/>
      <c r="G15" s="199"/>
      <c r="H15" s="199"/>
      <c r="I15" s="208"/>
      <c r="J15" s="221"/>
      <c r="K15" s="229"/>
      <c r="L15" s="226"/>
      <c r="M15" s="228"/>
    </row>
    <row r="16" customFormat="1" ht="15.75" spans="1:13">
      <c r="A16" s="230" t="s">
        <v>49</v>
      </c>
      <c r="B16" s="197"/>
      <c r="C16" s="213"/>
      <c r="D16" s="199"/>
      <c r="E16" s="199"/>
      <c r="F16" s="199"/>
      <c r="G16" s="199"/>
      <c r="H16" s="199"/>
      <c r="I16" s="208"/>
      <c r="J16" s="221"/>
      <c r="K16" s="229"/>
      <c r="L16" s="226"/>
      <c r="M16" s="228"/>
    </row>
    <row r="17" customFormat="1" ht="15.75" spans="1:13">
      <c r="A17" s="231"/>
      <c r="B17" s="232"/>
      <c r="C17" s="213"/>
      <c r="D17" s="199"/>
      <c r="E17" s="199"/>
      <c r="F17" s="199"/>
      <c r="G17" s="199"/>
      <c r="H17" s="199"/>
      <c r="I17" s="208"/>
      <c r="J17" s="221"/>
      <c r="K17" s="229"/>
      <c r="L17" s="226"/>
      <c r="M17" s="234" t="s">
        <v>50</v>
      </c>
    </row>
    <row r="18" customFormat="1" ht="15.75" spans="1:13">
      <c r="A18" s="235"/>
      <c r="B18" s="236"/>
      <c r="C18" s="237"/>
      <c r="D18" s="237"/>
      <c r="E18" s="237"/>
      <c r="F18" s="238"/>
      <c r="G18" s="239"/>
      <c r="H18" s="240"/>
      <c r="I18" s="240"/>
      <c r="J18" s="239"/>
      <c r="K18" s="240"/>
      <c r="L18" s="226"/>
      <c r="M18" s="242" t="s">
        <v>51</v>
      </c>
    </row>
    <row r="19" customFormat="1" ht="15.75" spans="1:13">
      <c r="A19" s="243"/>
      <c r="B19" s="244"/>
      <c r="C19" s="245"/>
      <c r="D19" s="245"/>
      <c r="E19" s="245"/>
      <c r="F19" s="246"/>
      <c r="G19" s="247"/>
      <c r="H19" s="248"/>
      <c r="I19" s="248"/>
      <c r="J19" s="247"/>
      <c r="K19" s="248"/>
      <c r="L19" s="226"/>
      <c r="M19" s="250" t="s">
        <v>52</v>
      </c>
    </row>
    <row r="20" customFormat="1" ht="18.75" spans="1:13">
      <c r="A20" s="251"/>
      <c r="B20" s="251"/>
      <c r="C20" s="252"/>
      <c r="D20" s="253"/>
      <c r="E20" s="253"/>
      <c r="F20" s="254"/>
      <c r="G20" s="255"/>
      <c r="H20" s="256"/>
      <c r="I20" s="257"/>
      <c r="J20" s="258"/>
      <c r="K20" s="257"/>
      <c r="L20" s="226"/>
      <c r="M20" s="234" t="s">
        <v>53</v>
      </c>
    </row>
    <row r="21" customFormat="1" ht="18.75" spans="1:13">
      <c r="A21" s="251"/>
      <c r="B21" s="251"/>
      <c r="C21" s="252"/>
      <c r="D21" s="253"/>
      <c r="E21" s="253"/>
      <c r="F21" s="254"/>
      <c r="G21" s="255"/>
      <c r="H21" s="256"/>
      <c r="I21" s="257"/>
      <c r="J21" s="258"/>
      <c r="K21" s="257"/>
      <c r="L21" s="226"/>
      <c r="M21" s="234" t="s">
        <v>54</v>
      </c>
    </row>
    <row r="22" customFormat="1" ht="18.75" spans="1:13">
      <c r="A22" s="251"/>
      <c r="B22" s="251"/>
      <c r="C22" s="252"/>
      <c r="D22" s="253"/>
      <c r="E22" s="253"/>
      <c r="F22" s="254"/>
      <c r="G22" s="255"/>
      <c r="H22" s="256"/>
      <c r="I22" s="257"/>
      <c r="J22" s="258"/>
      <c r="K22" s="257"/>
      <c r="L22" s="226"/>
      <c r="M22" s="234" t="s">
        <v>55</v>
      </c>
    </row>
    <row r="23" customFormat="1" ht="18.75" spans="1:13">
      <c r="A23" s="251"/>
      <c r="B23" s="251"/>
      <c r="C23" s="252"/>
      <c r="D23" s="253"/>
      <c r="E23" s="253"/>
      <c r="F23" s="254"/>
      <c r="G23" s="255"/>
      <c r="H23" s="256"/>
      <c r="I23" s="257"/>
      <c r="J23" s="258"/>
      <c r="K23" s="257"/>
      <c r="L23" s="226"/>
      <c r="M23" s="228"/>
    </row>
    <row r="24" customFormat="1" ht="18.75" spans="1:13">
      <c r="A24" s="251"/>
      <c r="B24" s="251"/>
      <c r="C24" s="252"/>
      <c r="D24" s="253"/>
      <c r="E24" s="253"/>
      <c r="F24" s="254"/>
      <c r="G24" s="255"/>
      <c r="H24" s="256"/>
      <c r="I24" s="257"/>
      <c r="J24" s="258"/>
      <c r="K24" s="257"/>
      <c r="L24" s="226"/>
      <c r="M24" s="228"/>
    </row>
    <row r="25" customFormat="1" ht="18.75" spans="1:13">
      <c r="A25" s="251"/>
      <c r="B25" s="251"/>
      <c r="C25" s="252"/>
      <c r="D25" s="253"/>
      <c r="E25" s="253"/>
      <c r="F25" s="254"/>
      <c r="G25" s="255"/>
      <c r="H25" s="256"/>
      <c r="I25" s="257"/>
      <c r="J25" s="258"/>
      <c r="K25" s="257"/>
      <c r="L25" s="226"/>
      <c r="M25" s="228"/>
    </row>
    <row r="26" customFormat="1" ht="18.75" spans="1:13">
      <c r="A26" s="251"/>
      <c r="B26" s="251"/>
      <c r="C26" s="252"/>
      <c r="D26" s="253"/>
      <c r="E26" s="253"/>
      <c r="F26" s="254"/>
      <c r="G26" s="255"/>
      <c r="H26" s="256"/>
      <c r="I26" s="257"/>
      <c r="J26" s="258"/>
      <c r="K26" s="257"/>
      <c r="L26" s="226"/>
      <c r="M26" s="228"/>
    </row>
    <row r="27" customFormat="1" ht="18.75" spans="1:13">
      <c r="A27" s="251"/>
      <c r="B27" s="251"/>
      <c r="C27" s="252"/>
      <c r="D27" s="253"/>
      <c r="E27" s="253"/>
      <c r="F27" s="254"/>
      <c r="G27" s="255"/>
      <c r="H27" s="256"/>
      <c r="I27" s="257"/>
      <c r="J27" s="258"/>
      <c r="K27" s="257"/>
      <c r="L27" s="226"/>
      <c r="M27" s="228"/>
    </row>
    <row r="28" customFormat="1" ht="18.75" spans="1:13">
      <c r="A28" s="251"/>
      <c r="B28" s="251"/>
      <c r="C28" s="252"/>
      <c r="D28" s="253"/>
      <c r="E28" s="253"/>
      <c r="F28" s="254"/>
      <c r="G28" s="255"/>
      <c r="H28" s="256"/>
      <c r="I28" s="257"/>
      <c r="J28" s="258"/>
      <c r="K28" s="257"/>
      <c r="L28" s="226"/>
      <c r="M28" s="228"/>
    </row>
    <row r="29" customFormat="1" ht="18.75" spans="1:13">
      <c r="A29" s="251"/>
      <c r="B29" s="251"/>
      <c r="C29" s="252"/>
      <c r="D29" s="253"/>
      <c r="E29" s="253"/>
      <c r="F29" s="259"/>
      <c r="G29" s="260"/>
      <c r="H29" s="261"/>
      <c r="I29" s="257"/>
      <c r="J29" s="258"/>
      <c r="K29" s="257"/>
      <c r="L29" s="226"/>
      <c r="M29" s="228"/>
    </row>
    <row r="30" customFormat="1" ht="18.75" spans="1:13">
      <c r="A30" s="251"/>
      <c r="B30" s="251"/>
      <c r="C30" s="252"/>
      <c r="D30" s="253"/>
      <c r="E30" s="253"/>
      <c r="F30" s="259"/>
      <c r="G30" s="260"/>
      <c r="H30" s="261"/>
      <c r="I30" s="257"/>
      <c r="J30" s="258"/>
      <c r="K30" s="257"/>
      <c r="L30" s="226"/>
      <c r="M30" s="228"/>
    </row>
    <row r="31" customFormat="1" ht="18.75" spans="1:13">
      <c r="A31" s="251"/>
      <c r="B31" s="251"/>
      <c r="C31" s="252"/>
      <c r="D31" s="253"/>
      <c r="E31" s="253"/>
      <c r="F31" s="259"/>
      <c r="G31" s="260"/>
      <c r="H31" s="261"/>
      <c r="I31" s="257"/>
      <c r="J31" s="258"/>
      <c r="K31" s="257"/>
      <c r="L31" s="226"/>
      <c r="M31" s="228"/>
    </row>
    <row r="32" customFormat="1" ht="18.75" spans="1:13">
      <c r="A32" s="253"/>
      <c r="B32" s="253"/>
      <c r="C32" s="252"/>
      <c r="D32" s="253"/>
      <c r="E32" s="253"/>
      <c r="F32" s="259"/>
      <c r="G32" s="260"/>
      <c r="H32" s="261"/>
      <c r="I32" s="257"/>
      <c r="J32" s="258"/>
      <c r="K32" s="257"/>
      <c r="L32" s="226"/>
      <c r="M32" s="228"/>
    </row>
    <row r="33" customFormat="1" ht="19.5" spans="1:13">
      <c r="A33" s="262"/>
      <c r="B33" s="262"/>
      <c r="C33" s="262"/>
      <c r="D33" s="263"/>
      <c r="E33" s="263"/>
      <c r="F33" s="263"/>
      <c r="G33" s="264"/>
      <c r="H33" s="265"/>
      <c r="I33" s="266"/>
      <c r="J33" s="267"/>
      <c r="K33" s="268"/>
      <c r="L33" s="226"/>
      <c r="M33" s="228"/>
    </row>
    <row r="34" customFormat="1" spans="1:13">
      <c r="C34" s="269"/>
      <c r="D34" s="270"/>
      <c r="E34" s="271"/>
      <c r="F34" s="271"/>
      <c r="G34" s="271"/>
      <c r="H34" s="271"/>
      <c r="I34" s="271"/>
      <c r="J34" s="271"/>
      <c r="K34" s="271"/>
    </row>
    <row r="35" ht="21" spans="1:13">
      <c r="C35" s="272"/>
      <c r="D35" s="270"/>
      <c r="E35" s="271"/>
      <c r="F35" s="271"/>
      <c r="G35" s="273"/>
      <c r="H35" s="271"/>
      <c r="I35" s="271"/>
      <c r="J35" s="271"/>
      <c r="K35" s="274"/>
    </row>
    <row r="36" ht="18.75" spans="1:13">
      <c r="G36" s="275"/>
    </row>
    <row r="38" customFormat="1" ht="18.75" spans="1:13">
      <c r="A38" s="276"/>
      <c r="B38" s="226"/>
      <c r="C38" s="226"/>
      <c r="D38" s="226"/>
      <c r="E38" s="277"/>
      <c r="F38" s="278"/>
      <c r="G38" s="279"/>
      <c r="H38" s="280"/>
      <c r="I38" s="281"/>
      <c r="J38" s="296"/>
      <c r="K38" s="283"/>
    </row>
    <row r="39" customFormat="1" ht="18.75" spans="1:13">
      <c r="A39" s="276"/>
      <c r="B39" s="226"/>
      <c r="C39" s="226"/>
      <c r="D39" s="226"/>
      <c r="E39" s="277"/>
      <c r="F39" s="278"/>
      <c r="G39" s="279"/>
      <c r="H39" s="280"/>
      <c r="I39" s="281"/>
      <c r="J39" s="296"/>
      <c r="K39" s="283"/>
    </row>
    <row r="40" customFormat="1" ht="18.75" spans="1:13">
      <c r="A40" s="276"/>
      <c r="B40" s="226"/>
      <c r="C40" s="226"/>
      <c r="D40" s="226"/>
      <c r="E40" s="277"/>
      <c r="F40" s="278"/>
      <c r="G40" s="279"/>
      <c r="H40" s="280"/>
      <c r="I40" s="281"/>
      <c r="J40" s="296"/>
      <c r="K40" s="283"/>
    </row>
    <row r="41" customFormat="1" ht="18.75" spans="1:13">
      <c r="A41" s="276"/>
      <c r="B41" s="226"/>
      <c r="C41" s="226"/>
      <c r="D41" s="226"/>
      <c r="E41" s="277"/>
      <c r="F41" s="278"/>
      <c r="G41" s="279"/>
      <c r="H41" s="280"/>
      <c r="I41" s="281"/>
      <c r="J41" s="296"/>
      <c r="K41" s="283"/>
    </row>
    <row r="42" customFormat="1" ht="18.75" spans="1:13">
      <c r="A42" s="276"/>
      <c r="B42" s="226"/>
      <c r="C42" s="226"/>
      <c r="D42" s="226"/>
      <c r="E42" s="277"/>
      <c r="F42" s="278"/>
      <c r="G42" s="279"/>
      <c r="H42" s="280"/>
      <c r="I42" s="281"/>
      <c r="J42" s="296"/>
      <c r="K42" s="283"/>
    </row>
    <row r="43" customFormat="1" ht="18.75" spans="1:13">
      <c r="A43" s="276"/>
      <c r="B43" s="226"/>
      <c r="C43" s="226"/>
      <c r="D43" s="226"/>
      <c r="E43" s="277"/>
      <c r="F43" s="278"/>
      <c r="G43" s="279"/>
      <c r="H43" s="280"/>
      <c r="I43" s="281"/>
      <c r="J43" s="296"/>
      <c r="K43" s="283"/>
    </row>
    <row r="44" customFormat="1" ht="18.75" spans="1:13">
      <c r="A44" s="276"/>
      <c r="B44" s="226"/>
      <c r="C44" s="226"/>
      <c r="D44" s="226"/>
      <c r="E44" s="277"/>
      <c r="F44" s="278"/>
      <c r="G44" s="279"/>
      <c r="H44" s="280"/>
      <c r="I44" s="281"/>
      <c r="J44" s="296"/>
      <c r="K44" s="283"/>
    </row>
    <row r="45" customFormat="1" ht="18.75" spans="1:13">
      <c r="A45" s="276"/>
      <c r="B45" s="226"/>
      <c r="C45" s="226"/>
      <c r="D45" s="226"/>
      <c r="E45" s="277"/>
      <c r="F45" s="278"/>
      <c r="G45" s="279"/>
      <c r="H45" s="280"/>
      <c r="I45" s="281"/>
      <c r="J45" s="296"/>
      <c r="K45" s="283"/>
    </row>
    <row r="46" customFormat="1" ht="18.75" spans="1:13">
      <c r="A46" s="276"/>
      <c r="B46" s="226"/>
      <c r="C46" s="226"/>
      <c r="D46" s="226"/>
      <c r="E46" s="277"/>
      <c r="F46" s="278"/>
      <c r="G46" s="279"/>
      <c r="H46" s="280"/>
      <c r="I46" s="281"/>
      <c r="J46" s="296"/>
      <c r="K46" s="283"/>
    </row>
    <row r="47" customFormat="1" ht="18.75" spans="1:13">
      <c r="A47" s="276"/>
      <c r="B47" s="226"/>
      <c r="C47" s="226"/>
      <c r="D47" s="226"/>
      <c r="E47" s="277"/>
      <c r="F47" s="278"/>
      <c r="G47" s="279"/>
      <c r="H47" s="280"/>
      <c r="I47" s="281"/>
      <c r="J47" s="296"/>
      <c r="K47" s="283"/>
    </row>
    <row r="48" customFormat="1" ht="18.75" spans="1:13">
      <c r="A48" s="276"/>
      <c r="B48" s="226"/>
      <c r="C48" s="226"/>
      <c r="D48" s="226"/>
      <c r="E48" s="277"/>
      <c r="F48" s="278"/>
      <c r="G48" s="279"/>
      <c r="H48" s="280"/>
      <c r="I48" s="281"/>
      <c r="J48" s="296"/>
      <c r="K48" s="283"/>
    </row>
    <row r="49" customFormat="1" ht="18.75" spans="1:11">
      <c r="A49" s="276"/>
      <c r="B49" s="226"/>
      <c r="C49" s="226"/>
      <c r="D49" s="226"/>
      <c r="E49" s="277"/>
      <c r="F49" s="278"/>
      <c r="G49" s="279"/>
      <c r="H49" s="280"/>
      <c r="I49" s="281"/>
      <c r="J49" s="296"/>
      <c r="K49" s="283"/>
    </row>
    <row r="50" customFormat="1" ht="18.75" spans="1:11">
      <c r="A50" s="276"/>
      <c r="B50" s="226"/>
      <c r="C50" s="226"/>
      <c r="D50" s="226"/>
      <c r="E50" s="277"/>
      <c r="F50" s="278"/>
      <c r="G50" s="279"/>
      <c r="H50" s="280"/>
      <c r="I50" s="281"/>
      <c r="J50" s="296"/>
      <c r="K50" s="283"/>
    </row>
    <row r="51" customFormat="1" ht="18.75" spans="1:11">
      <c r="A51" s="276"/>
      <c r="B51" s="226"/>
      <c r="C51" s="226"/>
      <c r="D51" s="226"/>
      <c r="E51" s="277"/>
      <c r="F51" s="278"/>
      <c r="G51" s="279"/>
      <c r="H51" s="280"/>
      <c r="I51" s="281"/>
      <c r="J51" s="296"/>
      <c r="K51" s="283"/>
    </row>
    <row r="52" customFormat="1" ht="18.75" spans="1:11">
      <c r="A52" s="276"/>
      <c r="B52" s="226"/>
      <c r="C52" s="226"/>
      <c r="D52" s="226"/>
      <c r="E52" s="277"/>
      <c r="F52" s="278"/>
      <c r="G52" s="279"/>
      <c r="H52" s="280"/>
      <c r="I52" s="281"/>
      <c r="J52" s="296"/>
      <c r="K52" s="283"/>
    </row>
    <row r="53" customFormat="1" ht="18.75" spans="1:11">
      <c r="A53" s="276"/>
      <c r="B53" s="226"/>
      <c r="C53" s="226"/>
      <c r="D53" s="226"/>
      <c r="E53" s="277"/>
      <c r="F53" s="278"/>
      <c r="G53" s="279"/>
      <c r="H53" s="280"/>
      <c r="I53" s="281"/>
      <c r="J53" s="296"/>
      <c r="K53" s="283"/>
    </row>
    <row r="54" customFormat="1" ht="18.75" spans="1:11">
      <c r="A54" s="276"/>
      <c r="B54" s="226"/>
      <c r="C54" s="226"/>
      <c r="D54" s="226"/>
      <c r="E54" s="277"/>
      <c r="F54" s="278"/>
      <c r="G54" s="279"/>
      <c r="H54" s="280"/>
      <c r="I54" s="281"/>
      <c r="J54" s="296"/>
      <c r="K54" s="283"/>
    </row>
    <row r="55" customFormat="1" ht="18.75" spans="1:11">
      <c r="A55" s="276"/>
      <c r="B55" s="226"/>
      <c r="C55" s="226"/>
      <c r="D55" s="226"/>
      <c r="E55" s="277"/>
      <c r="F55" s="278"/>
      <c r="G55" s="279"/>
      <c r="H55" s="280"/>
      <c r="I55" s="281"/>
      <c r="J55" s="296"/>
      <c r="K55" s="283"/>
    </row>
    <row r="56" customFormat="1" ht="18.75" spans="1:11">
      <c r="A56" s="276"/>
      <c r="B56" s="226"/>
      <c r="C56" s="226"/>
      <c r="D56" s="226"/>
      <c r="E56" s="277"/>
      <c r="F56" s="278"/>
      <c r="G56" s="279"/>
      <c r="H56" s="280"/>
      <c r="I56" s="281"/>
      <c r="J56" s="296"/>
      <c r="K56" s="283"/>
    </row>
    <row r="57" customFormat="1" ht="18.75" spans="1:11">
      <c r="A57" s="276"/>
      <c r="B57" s="226"/>
      <c r="C57" s="226"/>
      <c r="D57" s="226"/>
      <c r="E57" s="277"/>
      <c r="F57" s="278"/>
      <c r="G57" s="279"/>
      <c r="H57" s="280"/>
      <c r="I57" s="281"/>
      <c r="J57" s="296"/>
      <c r="K57" s="283"/>
    </row>
    <row r="58" customFormat="1" ht="18.75" spans="1:11">
      <c r="A58" s="276"/>
      <c r="B58" s="226"/>
      <c r="C58" s="226"/>
      <c r="D58" s="226"/>
      <c r="E58" s="277"/>
      <c r="F58" s="278"/>
      <c r="G58" s="279"/>
      <c r="H58" s="280"/>
      <c r="I58" s="281"/>
      <c r="J58" s="296"/>
      <c r="K58" s="283"/>
    </row>
    <row r="59" customFormat="1" ht="18.75" spans="1:11">
      <c r="A59" s="276"/>
      <c r="B59" s="226"/>
      <c r="C59" s="226"/>
      <c r="D59" s="226"/>
      <c r="E59" s="277"/>
      <c r="F59" s="278"/>
      <c r="G59" s="279"/>
      <c r="H59" s="280"/>
      <c r="I59" s="281"/>
      <c r="J59" s="296"/>
      <c r="K59" s="283"/>
    </row>
    <row r="60" customFormat="1" ht="18.75" spans="1:11">
      <c r="A60" s="276"/>
      <c r="B60" s="226"/>
      <c r="C60" s="226"/>
      <c r="D60" s="226"/>
      <c r="E60" s="277"/>
      <c r="F60" s="297"/>
      <c r="G60" s="279"/>
      <c r="H60" s="280"/>
      <c r="I60" s="281"/>
      <c r="J60" s="296"/>
      <c r="K60" s="283"/>
    </row>
    <row r="61" customFormat="1" ht="18.75" spans="1:11">
      <c r="A61" s="276"/>
      <c r="B61" s="226"/>
      <c r="C61" s="226"/>
      <c r="D61" s="226"/>
      <c r="E61" s="277"/>
      <c r="F61" s="297"/>
      <c r="G61" s="279"/>
      <c r="H61" s="280"/>
      <c r="I61" s="281"/>
      <c r="J61" s="296"/>
      <c r="K61" s="283"/>
    </row>
    <row r="62" customFormat="1" ht="18.75" spans="1:11">
      <c r="A62" s="276"/>
      <c r="B62" s="226"/>
      <c r="C62" s="226"/>
      <c r="D62" s="226"/>
      <c r="E62" s="277"/>
      <c r="F62" s="297"/>
      <c r="G62" s="279"/>
      <c r="H62" s="280"/>
      <c r="I62" s="281"/>
      <c r="J62" s="296"/>
      <c r="K62" s="283"/>
    </row>
    <row r="63" customFormat="1" ht="18.75" spans="1:11">
      <c r="A63" s="276"/>
      <c r="B63" s="226"/>
      <c r="C63" s="226"/>
      <c r="D63" s="226"/>
      <c r="E63" s="277"/>
      <c r="F63" s="297"/>
      <c r="G63" s="279"/>
      <c r="H63" s="280"/>
      <c r="I63" s="281"/>
      <c r="J63" s="296"/>
      <c r="K63" s="283"/>
    </row>
    <row r="64" customFormat="1" ht="18.75" spans="1:11">
      <c r="A64" s="276"/>
      <c r="B64" s="226"/>
      <c r="C64" s="226"/>
      <c r="D64" s="226"/>
      <c r="E64" s="277"/>
      <c r="F64" s="297"/>
      <c r="G64" s="279"/>
      <c r="H64" s="280"/>
      <c r="I64" s="281"/>
      <c r="J64" s="296"/>
      <c r="K64" s="283"/>
    </row>
    <row r="65" customFormat="1" ht="18.75" spans="1:11">
      <c r="A65" s="276"/>
      <c r="B65" s="226"/>
      <c r="C65" s="226"/>
      <c r="D65" s="226"/>
      <c r="E65" s="277"/>
      <c r="F65" s="297"/>
      <c r="G65" s="279"/>
      <c r="H65" s="280"/>
      <c r="I65" s="281"/>
      <c r="J65" s="296"/>
      <c r="K65" s="283"/>
    </row>
    <row r="66" customFormat="1" ht="18.75" spans="1:11">
      <c r="A66" s="276"/>
      <c r="B66" s="226"/>
      <c r="C66" s="226"/>
      <c r="D66" s="226"/>
      <c r="E66" s="277"/>
      <c r="F66" s="297"/>
      <c r="G66" s="279"/>
      <c r="H66" s="280"/>
      <c r="I66" s="281"/>
      <c r="J66" s="296"/>
      <c r="K66" s="283"/>
    </row>
    <row r="67" customFormat="1" ht="18.75" spans="1:11">
      <c r="A67" s="276"/>
      <c r="B67" s="226"/>
      <c r="C67" s="226"/>
      <c r="D67" s="226"/>
      <c r="E67" s="277"/>
      <c r="F67" s="297"/>
      <c r="G67" s="279"/>
      <c r="H67" s="280"/>
      <c r="I67" s="281"/>
      <c r="J67" s="296"/>
      <c r="K67" s="283"/>
    </row>
    <row r="68" customFormat="1" ht="18.75" spans="1:11">
      <c r="A68" s="276"/>
      <c r="B68" s="226"/>
      <c r="C68" s="226"/>
      <c r="D68" s="226"/>
      <c r="E68" s="277"/>
      <c r="F68" s="297"/>
      <c r="G68" s="279"/>
      <c r="H68" s="280"/>
      <c r="I68" s="281"/>
      <c r="J68" s="296"/>
      <c r="K68" s="283"/>
    </row>
    <row r="69" customFormat="1" ht="18.75" spans="1:11">
      <c r="A69" s="276"/>
      <c r="B69" s="226"/>
      <c r="C69" s="226"/>
      <c r="D69" s="226"/>
      <c r="E69" s="277"/>
      <c r="F69" s="297"/>
      <c r="G69" s="279"/>
      <c r="H69" s="280"/>
      <c r="I69" s="281"/>
      <c r="J69" s="296"/>
      <c r="K69" s="283"/>
    </row>
    <row r="70" customFormat="1" ht="18.75" spans="1:11">
      <c r="A70" s="276"/>
      <c r="B70" s="226"/>
      <c r="C70" s="226"/>
      <c r="D70" s="226"/>
      <c r="E70" s="277"/>
      <c r="F70" s="297"/>
      <c r="G70" s="279"/>
      <c r="H70" s="280"/>
      <c r="I70" s="281"/>
      <c r="J70" s="296"/>
      <c r="K70" s="283"/>
    </row>
    <row r="71" customFormat="1" ht="18.75" spans="1:11">
      <c r="A71" s="276"/>
      <c r="B71" s="226"/>
      <c r="C71" s="226"/>
      <c r="D71" s="226"/>
      <c r="E71" s="277"/>
      <c r="F71" s="297"/>
      <c r="G71" s="279"/>
      <c r="H71" s="280"/>
      <c r="I71" s="281"/>
      <c r="J71" s="296"/>
      <c r="K71" s="283"/>
    </row>
    <row r="72" customFormat="1" ht="18.75" spans="1:11">
      <c r="A72" s="276"/>
      <c r="B72" s="226"/>
      <c r="C72" s="226"/>
      <c r="D72" s="226"/>
      <c r="E72" s="277"/>
      <c r="F72" s="297"/>
      <c r="G72" s="279"/>
      <c r="H72" s="280"/>
      <c r="I72" s="281"/>
      <c r="J72" s="296"/>
      <c r="K72" s="283"/>
    </row>
    <row r="73" customFormat="1" ht="18.75" spans="1:11">
      <c r="A73" s="276"/>
      <c r="B73" s="226"/>
      <c r="C73" s="226"/>
      <c r="D73" s="226"/>
      <c r="E73" s="277"/>
      <c r="F73" s="297"/>
      <c r="G73" s="279"/>
      <c r="H73" s="280"/>
      <c r="I73" s="281"/>
      <c r="J73" s="296"/>
      <c r="K73" s="283"/>
    </row>
    <row r="74" customFormat="1" ht="18.75" spans="1:11">
      <c r="A74" s="276"/>
      <c r="B74" s="226"/>
      <c r="C74" s="226"/>
      <c r="D74" s="226"/>
      <c r="E74" s="277"/>
      <c r="F74" s="297"/>
      <c r="G74" s="279"/>
      <c r="H74" s="280"/>
      <c r="I74" s="281"/>
      <c r="J74" s="296"/>
      <c r="K74" s="283"/>
    </row>
    <row r="75" customFormat="1" ht="18.75" spans="1:11">
      <c r="A75" s="276"/>
      <c r="B75" s="226"/>
      <c r="C75" s="226"/>
      <c r="D75" s="226"/>
      <c r="E75" s="277"/>
      <c r="F75" s="297"/>
      <c r="G75" s="279"/>
      <c r="H75" s="280"/>
      <c r="I75" s="281"/>
      <c r="J75" s="296"/>
      <c r="K75" s="283"/>
    </row>
    <row r="76" customFormat="1" ht="18.75" spans="1:11">
      <c r="A76" s="276"/>
      <c r="B76" s="226"/>
      <c r="C76" s="226"/>
      <c r="D76" s="226"/>
      <c r="E76" s="277"/>
      <c r="F76" s="297"/>
      <c r="G76" s="279"/>
      <c r="H76" s="280"/>
      <c r="I76" s="281"/>
      <c r="J76" s="296"/>
      <c r="K76" s="283"/>
    </row>
    <row r="77" customFormat="1" ht="18.75" spans="1:11">
      <c r="A77" s="276"/>
      <c r="B77" s="226"/>
      <c r="C77" s="226"/>
      <c r="D77" s="226"/>
      <c r="E77" s="277"/>
      <c r="F77" s="297"/>
      <c r="G77" s="279"/>
      <c r="H77" s="280"/>
      <c r="I77" s="281"/>
      <c r="J77" s="296"/>
      <c r="K77" s="283"/>
    </row>
    <row r="78" customFormat="1" ht="18.75" spans="1:11">
      <c r="A78" s="276"/>
      <c r="B78" s="226"/>
      <c r="C78" s="226"/>
      <c r="D78" s="226"/>
      <c r="E78" s="277"/>
      <c r="F78" s="297"/>
      <c r="G78" s="279"/>
      <c r="H78" s="280"/>
      <c r="I78" s="281"/>
      <c r="J78" s="296"/>
      <c r="K78" s="283"/>
    </row>
    <row r="79" customFormat="1" ht="18.75" spans="1:11">
      <c r="A79" s="276"/>
      <c r="B79" s="226"/>
      <c r="C79" s="226"/>
      <c r="D79" s="226"/>
      <c r="E79" s="277"/>
      <c r="F79" s="298"/>
      <c r="G79" s="279"/>
      <c r="H79" s="280"/>
      <c r="I79" s="281"/>
      <c r="J79" s="296"/>
      <c r="K79" s="283"/>
    </row>
    <row r="80" ht="21.75" spans="1:11">
      <c r="A80" s="299"/>
      <c r="B80" s="300"/>
      <c r="C80" s="300"/>
      <c r="D80" s="300"/>
      <c r="E80" s="301"/>
      <c r="F80" s="302"/>
      <c r="G80" s="303"/>
      <c r="H80" s="304"/>
      <c r="I80" s="305"/>
      <c r="J80" s="306"/>
      <c r="K80" s="283"/>
    </row>
    <row r="81" ht="24" spans="1:11">
      <c r="B81" s="160"/>
      <c r="C81" s="160"/>
      <c r="E81" s="307" t="s">
        <v>105</v>
      </c>
      <c r="F81" s="307"/>
      <c r="H81" s="160"/>
      <c r="I81" s="160"/>
      <c r="J81" s="160"/>
    </row>
    <row r="82" ht="15.75" customHeight="1" spans="1:11">
      <c r="A82" s="308" t="s">
        <v>106</v>
      </c>
      <c r="B82" s="309" t="s">
        <v>8</v>
      </c>
      <c r="C82" s="309" t="s">
        <v>9</v>
      </c>
      <c r="D82" s="309" t="s">
        <v>107</v>
      </c>
      <c r="E82" s="310" t="s">
        <v>108</v>
      </c>
      <c r="F82" s="311" t="s">
        <v>109</v>
      </c>
      <c r="G82" s="309" t="s">
        <v>110</v>
      </c>
      <c r="H82" s="309" t="s">
        <v>111</v>
      </c>
      <c r="I82" s="311" t="s">
        <v>112</v>
      </c>
      <c r="J82" s="309" t="s">
        <v>113</v>
      </c>
      <c r="K82" s="312" t="s">
        <v>114</v>
      </c>
    </row>
    <row r="83" ht="15.75" customHeight="1" spans="1:11">
      <c r="A83" s="313"/>
      <c r="B83" s="314"/>
      <c r="C83" s="314"/>
      <c r="D83" s="314"/>
      <c r="E83" s="315"/>
      <c r="F83" s="316"/>
      <c r="G83" s="317"/>
      <c r="H83" s="317"/>
      <c r="I83" s="316"/>
      <c r="J83" s="317"/>
      <c r="K83" s="318"/>
    </row>
    <row r="84" ht="18.75" spans="1:11">
      <c r="A84" s="319"/>
      <c r="B84" s="226"/>
      <c r="C84" s="298"/>
      <c r="D84" s="298"/>
      <c r="E84" s="320"/>
      <c r="F84" s="255"/>
      <c r="G84" s="321"/>
      <c r="H84" s="321"/>
      <c r="I84" s="322"/>
      <c r="J84" s="321"/>
      <c r="K84" s="323"/>
    </row>
    <row r="85" ht="18.75" spans="1:11">
      <c r="A85" s="319"/>
      <c r="B85" s="226"/>
      <c r="C85" s="298"/>
      <c r="D85" s="298"/>
      <c r="E85" s="320"/>
      <c r="F85" s="255"/>
      <c r="G85" s="321"/>
      <c r="H85" s="321"/>
      <c r="I85" s="322"/>
      <c r="J85" s="321"/>
      <c r="K85" s="323"/>
    </row>
    <row r="86" ht="18.75" spans="1:11">
      <c r="A86" s="319"/>
      <c r="B86" s="226"/>
      <c r="C86" s="298"/>
      <c r="D86" s="298"/>
      <c r="E86" s="320"/>
      <c r="F86" s="255"/>
      <c r="G86" s="321"/>
      <c r="H86" s="321"/>
      <c r="I86" s="322"/>
      <c r="J86" s="321"/>
      <c r="K86" s="324"/>
    </row>
    <row r="87" customFormat="1" ht="18.75" spans="1:11">
      <c r="A87" s="319"/>
      <c r="B87" s="226"/>
      <c r="C87" s="298"/>
      <c r="D87" s="298"/>
      <c r="E87" s="320"/>
      <c r="F87" s="255"/>
      <c r="G87" s="321"/>
      <c r="H87" s="321"/>
      <c r="I87" s="322"/>
      <c r="J87" s="321"/>
      <c r="K87" s="324"/>
    </row>
    <row r="88" ht="18.75" spans="1:11">
      <c r="A88" s="319"/>
      <c r="B88" s="226"/>
      <c r="C88" s="298"/>
      <c r="D88" s="298"/>
      <c r="E88" s="320"/>
      <c r="F88" s="255"/>
      <c r="G88" s="321"/>
      <c r="H88" s="321"/>
      <c r="I88" s="322"/>
      <c r="J88" s="321"/>
      <c r="K88" s="324"/>
    </row>
    <row r="89" ht="18.75" spans="1:11">
      <c r="A89" s="319"/>
      <c r="B89" s="226"/>
      <c r="C89" s="298"/>
      <c r="D89" s="298"/>
      <c r="E89" s="320"/>
      <c r="F89" s="255"/>
      <c r="G89" s="321"/>
      <c r="H89" s="321"/>
      <c r="I89" s="322"/>
      <c r="J89" s="321"/>
      <c r="K89" s="324"/>
    </row>
    <row r="90" ht="18.75" spans="1:11">
      <c r="A90" s="319"/>
      <c r="B90" s="226"/>
      <c r="C90" s="298"/>
      <c r="D90" s="298"/>
      <c r="E90" s="320"/>
      <c r="F90" s="255"/>
      <c r="G90" s="321"/>
      <c r="H90" s="321"/>
      <c r="I90" s="322"/>
      <c r="J90" s="321"/>
      <c r="K90" s="324"/>
    </row>
    <row r="91" ht="18.75" spans="1:11">
      <c r="A91" s="319"/>
      <c r="B91" s="226"/>
      <c r="C91" s="298"/>
      <c r="D91" s="298"/>
      <c r="E91" s="320"/>
      <c r="F91" s="255"/>
      <c r="G91" s="321"/>
      <c r="H91" s="321"/>
      <c r="I91" s="322"/>
      <c r="J91" s="321"/>
      <c r="K91" s="324"/>
    </row>
    <row r="92" customFormat="1" ht="18.75" spans="1:11">
      <c r="A92" s="319"/>
      <c r="B92" s="226"/>
      <c r="C92" s="298"/>
      <c r="D92" s="298"/>
      <c r="E92" s="320"/>
      <c r="F92" s="255"/>
      <c r="G92" s="321"/>
      <c r="H92" s="321"/>
      <c r="I92" s="322"/>
      <c r="J92" s="321"/>
      <c r="K92" s="324"/>
    </row>
    <row r="93" customFormat="1" ht="18.75" spans="1:11">
      <c r="A93" s="319"/>
      <c r="B93" s="226"/>
      <c r="C93" s="298"/>
      <c r="D93" s="298"/>
      <c r="E93" s="320"/>
      <c r="F93" s="255"/>
      <c r="G93" s="321"/>
      <c r="H93" s="321"/>
      <c r="I93" s="322"/>
      <c r="J93" s="321"/>
      <c r="K93" s="324"/>
    </row>
    <row r="94" customFormat="1" ht="18.75" spans="1:11">
      <c r="A94" s="319"/>
      <c r="B94" s="226"/>
      <c r="C94" s="298"/>
      <c r="D94" s="298"/>
      <c r="E94" s="320"/>
      <c r="F94" s="255"/>
      <c r="G94" s="321"/>
      <c r="H94" s="321"/>
      <c r="I94" s="322"/>
      <c r="J94" s="321"/>
      <c r="K94" s="324"/>
    </row>
    <row r="95" customFormat="1" ht="18.75" spans="1:11">
      <c r="A95" s="319"/>
      <c r="B95" s="226"/>
      <c r="C95" s="298"/>
      <c r="D95" s="298"/>
      <c r="E95" s="320"/>
      <c r="F95" s="255"/>
      <c r="G95" s="321"/>
      <c r="H95" s="321"/>
      <c r="I95" s="322"/>
      <c r="J95" s="321"/>
      <c r="K95" s="324"/>
    </row>
    <row r="96" customFormat="1" ht="18.75" spans="1:11">
      <c r="A96" s="319"/>
      <c r="B96" s="226"/>
      <c r="C96" s="298"/>
      <c r="D96" s="298"/>
      <c r="E96" s="320"/>
      <c r="F96" s="255"/>
      <c r="G96" s="321"/>
      <c r="H96" s="321"/>
      <c r="I96" s="322"/>
      <c r="J96" s="321"/>
      <c r="K96" s="324"/>
    </row>
    <row r="97" customFormat="1" ht="18.75" spans="1:11">
      <c r="A97" s="319"/>
      <c r="B97" s="226"/>
      <c r="C97" s="298"/>
      <c r="D97" s="298"/>
      <c r="E97" s="320"/>
      <c r="F97" s="255"/>
      <c r="G97" s="321"/>
      <c r="H97" s="321"/>
      <c r="I97" s="322"/>
      <c r="J97" s="321"/>
      <c r="K97" s="324"/>
    </row>
    <row r="98" customFormat="1" ht="18.75" spans="1:11">
      <c r="A98" s="319"/>
      <c r="B98" s="226"/>
      <c r="C98" s="298"/>
      <c r="D98" s="298"/>
      <c r="E98" s="320"/>
      <c r="F98" s="255"/>
      <c r="G98" s="321"/>
      <c r="H98" s="321"/>
      <c r="I98" s="322"/>
      <c r="J98" s="321"/>
      <c r="K98" s="324"/>
    </row>
    <row r="99" customFormat="1" ht="18.75" spans="1:11">
      <c r="A99" s="319"/>
      <c r="B99" s="226"/>
      <c r="C99" s="298"/>
      <c r="D99" s="298"/>
      <c r="E99" s="320"/>
      <c r="F99" s="255"/>
      <c r="G99" s="321"/>
      <c r="H99" s="321"/>
      <c r="I99" s="322"/>
      <c r="J99" s="321"/>
      <c r="K99" s="324"/>
    </row>
    <row r="100" customFormat="1" ht="18.75" spans="1:11">
      <c r="A100" s="319"/>
      <c r="B100" s="226"/>
      <c r="C100" s="298"/>
      <c r="D100" s="298"/>
      <c r="E100" s="320"/>
      <c r="F100" s="255"/>
      <c r="G100" s="321"/>
      <c r="H100" s="321"/>
      <c r="I100" s="322"/>
      <c r="J100" s="321"/>
      <c r="K100" s="324"/>
    </row>
    <row r="101" customFormat="1" ht="18.75" spans="1:11">
      <c r="A101" s="319"/>
      <c r="B101" s="226"/>
      <c r="C101" s="298"/>
      <c r="D101" s="298"/>
      <c r="E101" s="320"/>
      <c r="F101" s="255"/>
      <c r="G101" s="321"/>
      <c r="H101" s="321"/>
      <c r="I101" s="322"/>
      <c r="J101" s="321"/>
      <c r="K101" s="324"/>
    </row>
    <row r="102" customFormat="1" ht="18.75" spans="1:11">
      <c r="A102" s="319"/>
      <c r="B102" s="226"/>
      <c r="C102" s="298"/>
      <c r="D102" s="298"/>
      <c r="E102" s="320"/>
      <c r="F102" s="255"/>
      <c r="G102" s="321"/>
      <c r="H102" s="321"/>
      <c r="I102" s="322"/>
      <c r="J102" s="321"/>
      <c r="K102" s="323"/>
    </row>
    <row r="103" customFormat="1" ht="18.75" spans="1:11">
      <c r="A103" s="319"/>
      <c r="B103" s="226"/>
      <c r="C103" s="298"/>
      <c r="D103" s="298"/>
      <c r="E103" s="320"/>
      <c r="F103" s="255"/>
      <c r="G103" s="321"/>
      <c r="H103" s="321"/>
      <c r="I103" s="322"/>
      <c r="J103" s="321"/>
      <c r="K103" s="324"/>
    </row>
    <row r="104" customFormat="1" ht="18.75" spans="1:11">
      <c r="A104" s="319"/>
      <c r="B104" s="226"/>
      <c r="C104" s="298"/>
      <c r="D104" s="298"/>
      <c r="E104" s="320"/>
      <c r="F104" s="255"/>
      <c r="G104" s="321"/>
      <c r="H104" s="321"/>
      <c r="I104" s="322"/>
      <c r="J104" s="321"/>
      <c r="K104" s="324"/>
    </row>
    <row r="105" customFormat="1" ht="18.75" spans="1:11">
      <c r="A105" s="319"/>
      <c r="B105" s="226"/>
      <c r="C105" s="298"/>
      <c r="D105" s="298"/>
      <c r="E105" s="320"/>
      <c r="F105" s="255"/>
      <c r="G105" s="321"/>
      <c r="H105" s="321"/>
      <c r="I105" s="322"/>
      <c r="J105" s="321"/>
      <c r="K105" s="324"/>
    </row>
    <row r="106" customFormat="1" ht="18.75" spans="1:11">
      <c r="A106" s="319"/>
      <c r="B106" s="226"/>
      <c r="C106" s="298"/>
      <c r="D106" s="298"/>
      <c r="E106" s="320"/>
      <c r="F106" s="255"/>
      <c r="G106" s="321"/>
      <c r="H106" s="321"/>
      <c r="I106" s="322"/>
      <c r="J106" s="325"/>
      <c r="K106" s="323"/>
    </row>
    <row r="107" customFormat="1" ht="18.75" spans="1:11">
      <c r="A107" s="319"/>
      <c r="B107" s="226"/>
      <c r="C107" s="298"/>
      <c r="D107" s="298"/>
      <c r="E107" s="320"/>
      <c r="F107" s="255"/>
      <c r="G107" s="321"/>
      <c r="H107" s="321"/>
      <c r="I107" s="322"/>
      <c r="J107" s="325"/>
      <c r="K107" s="323"/>
    </row>
    <row r="108" customFormat="1" ht="18.75" spans="1:11">
      <c r="A108" s="319"/>
      <c r="B108" s="226"/>
      <c r="C108" s="298"/>
      <c r="D108" s="298"/>
      <c r="E108" s="320"/>
      <c r="F108" s="255"/>
      <c r="G108" s="321"/>
      <c r="H108" s="321"/>
      <c r="I108" s="322"/>
      <c r="J108" s="325"/>
      <c r="K108" s="323"/>
    </row>
    <row r="109" customFormat="1" ht="18.75" spans="1:11">
      <c r="A109" s="319"/>
      <c r="B109" s="226"/>
      <c r="C109" s="298"/>
      <c r="D109" s="298"/>
      <c r="E109" s="320"/>
      <c r="F109" s="255"/>
      <c r="G109" s="321"/>
      <c r="H109" s="321"/>
      <c r="I109" s="322"/>
      <c r="J109" s="325"/>
      <c r="K109" s="323"/>
    </row>
    <row r="110" customFormat="1" ht="18.75" spans="1:11">
      <c r="A110" s="319"/>
      <c r="B110" s="226"/>
      <c r="C110" s="298"/>
      <c r="D110" s="298"/>
      <c r="E110" s="320"/>
      <c r="F110" s="255"/>
      <c r="G110" s="321"/>
      <c r="H110" s="321"/>
      <c r="I110" s="322"/>
      <c r="J110" s="325"/>
      <c r="K110" s="323"/>
    </row>
    <row r="111" customFormat="1" ht="18.75" spans="1:11">
      <c r="A111" s="319"/>
      <c r="B111" s="226"/>
      <c r="C111" s="298"/>
      <c r="D111" s="298"/>
      <c r="E111" s="320"/>
      <c r="F111" s="255"/>
      <c r="G111" s="321"/>
      <c r="H111" s="321"/>
      <c r="I111" s="322"/>
      <c r="J111" s="325"/>
      <c r="K111" s="323"/>
    </row>
    <row r="112" ht="18.75" spans="1:11">
      <c r="A112" s="319"/>
      <c r="B112" s="226"/>
      <c r="C112" s="298"/>
      <c r="D112" s="298"/>
      <c r="E112" s="320"/>
      <c r="F112" s="255"/>
      <c r="G112" s="321"/>
      <c r="H112" s="321"/>
      <c r="I112" s="322"/>
      <c r="J112" s="325"/>
      <c r="K112" s="323"/>
    </row>
    <row r="113" ht="18.75" spans="1:11">
      <c r="A113" s="319"/>
      <c r="B113" s="226"/>
      <c r="C113" s="298"/>
      <c r="D113" s="298"/>
      <c r="E113" s="320"/>
      <c r="F113" s="255"/>
      <c r="G113" s="321"/>
      <c r="H113" s="321"/>
      <c r="I113" s="322"/>
      <c r="J113" s="325"/>
      <c r="K113" s="323"/>
    </row>
    <row r="114" ht="18.75" spans="1:11">
      <c r="A114" s="319"/>
      <c r="B114" s="226"/>
      <c r="C114" s="298"/>
      <c r="D114" s="298"/>
      <c r="E114" s="320"/>
      <c r="F114" s="260"/>
      <c r="G114" s="326"/>
      <c r="H114" s="321"/>
      <c r="I114" s="322"/>
      <c r="J114" s="325"/>
      <c r="K114" s="323"/>
    </row>
    <row r="115" ht="18.75" spans="1:11">
      <c r="A115" s="319"/>
      <c r="B115" s="226"/>
      <c r="C115" s="298"/>
      <c r="D115" s="298"/>
      <c r="E115" s="320"/>
      <c r="F115" s="260"/>
      <c r="G115" s="326"/>
      <c r="H115" s="321"/>
      <c r="I115" s="322"/>
      <c r="J115" s="325"/>
      <c r="K115" s="323"/>
    </row>
    <row r="116" customFormat="1" ht="18.75" spans="1:11">
      <c r="A116" s="319"/>
      <c r="B116" s="226"/>
      <c r="C116" s="298"/>
      <c r="D116" s="298"/>
      <c r="E116" s="320"/>
      <c r="F116" s="260"/>
      <c r="G116" s="326"/>
      <c r="H116" s="321"/>
      <c r="I116" s="322"/>
      <c r="J116" s="325"/>
      <c r="K116" s="323"/>
    </row>
    <row r="117" customFormat="1" ht="18.75" spans="1:11">
      <c r="A117" s="319"/>
      <c r="B117" s="226"/>
      <c r="C117" s="298"/>
      <c r="D117" s="298"/>
      <c r="E117" s="320"/>
      <c r="F117" s="260"/>
      <c r="G117" s="326"/>
      <c r="H117" s="321"/>
      <c r="I117" s="322"/>
      <c r="J117" s="325"/>
      <c r="K117" s="323"/>
    </row>
    <row r="118" customFormat="1" ht="18.75" spans="1:11">
      <c r="A118" s="319"/>
      <c r="B118" s="226"/>
      <c r="C118" s="298"/>
      <c r="D118" s="298"/>
      <c r="E118" s="320"/>
      <c r="F118" s="260"/>
      <c r="G118" s="326"/>
      <c r="H118" s="321"/>
      <c r="I118" s="322"/>
      <c r="J118" s="325"/>
      <c r="K118" s="323"/>
    </row>
    <row r="119" customFormat="1" ht="18.75" spans="1:11">
      <c r="A119" s="319"/>
      <c r="B119" s="226"/>
      <c r="C119" s="298"/>
      <c r="D119" s="298"/>
      <c r="E119" s="320"/>
      <c r="F119" s="260"/>
      <c r="G119" s="326"/>
      <c r="H119" s="321"/>
      <c r="I119" s="322"/>
      <c r="J119" s="325"/>
      <c r="K119" s="323"/>
    </row>
    <row r="120" customFormat="1" ht="18.75" spans="1:11">
      <c r="A120" s="319"/>
      <c r="B120" s="226"/>
      <c r="C120" s="298"/>
      <c r="D120" s="298"/>
      <c r="E120" s="320"/>
      <c r="F120" s="260"/>
      <c r="G120" s="326"/>
      <c r="H120" s="321"/>
      <c r="I120" s="322"/>
      <c r="J120" s="325"/>
      <c r="K120" s="323"/>
    </row>
    <row r="121" customFormat="1" ht="18.75" spans="1:11">
      <c r="A121" s="319"/>
      <c r="B121" s="226"/>
      <c r="C121" s="298"/>
      <c r="D121" s="298"/>
      <c r="E121" s="320"/>
      <c r="F121" s="260"/>
      <c r="G121" s="326"/>
      <c r="H121" s="321"/>
      <c r="I121" s="322"/>
      <c r="J121" s="325"/>
      <c r="K121" s="323"/>
    </row>
    <row r="122" customFormat="1" ht="18.75" spans="1:11">
      <c r="A122" s="319"/>
      <c r="B122" s="226"/>
      <c r="C122" s="298"/>
      <c r="D122" s="298"/>
      <c r="E122" s="320"/>
      <c r="F122" s="260"/>
      <c r="G122" s="326"/>
      <c r="H122" s="321"/>
      <c r="I122" s="322"/>
      <c r="J122" s="325"/>
      <c r="K122" s="323"/>
    </row>
    <row r="123" customFormat="1" ht="18.75" spans="1:11">
      <c r="A123" s="319"/>
      <c r="B123" s="226"/>
      <c r="C123" s="298"/>
      <c r="D123" s="298"/>
      <c r="E123" s="320"/>
      <c r="F123" s="260"/>
      <c r="G123" s="326"/>
      <c r="H123" s="321"/>
      <c r="I123" s="322"/>
      <c r="J123" s="325"/>
      <c r="K123" s="323"/>
    </row>
    <row r="124" customFormat="1" ht="18.75" spans="1:11">
      <c r="A124" s="319"/>
      <c r="B124" s="226"/>
      <c r="C124" s="298"/>
      <c r="D124" s="298"/>
      <c r="E124" s="320"/>
      <c r="F124" s="260"/>
      <c r="G124" s="326"/>
      <c r="H124" s="321"/>
      <c r="I124" s="322"/>
      <c r="J124" s="325"/>
      <c r="K124" s="323"/>
    </row>
    <row r="125" customFormat="1" ht="18.75" spans="1:11">
      <c r="A125" s="319"/>
      <c r="B125" s="226"/>
      <c r="C125" s="298"/>
      <c r="D125" s="298"/>
      <c r="E125" s="320"/>
      <c r="F125" s="260"/>
      <c r="G125" s="326"/>
      <c r="H125" s="321"/>
      <c r="I125" s="322"/>
      <c r="J125" s="325"/>
      <c r="K125" s="323"/>
    </row>
    <row r="126" customFormat="1" ht="18.75" spans="1:11">
      <c r="A126" s="319"/>
      <c r="B126" s="226"/>
      <c r="C126" s="298"/>
      <c r="D126" s="298"/>
      <c r="E126" s="320"/>
      <c r="F126" s="260"/>
      <c r="G126" s="326"/>
      <c r="H126" s="321"/>
      <c r="I126" s="322"/>
      <c r="J126" s="325"/>
      <c r="K126" s="323"/>
    </row>
    <row r="127" customFormat="1" ht="18.75" spans="1:11">
      <c r="A127" s="319"/>
      <c r="B127" s="226"/>
      <c r="C127" s="298"/>
      <c r="D127" s="298"/>
      <c r="E127" s="320"/>
      <c r="F127" s="260"/>
      <c r="G127" s="326"/>
      <c r="H127" s="321"/>
      <c r="I127" s="322"/>
      <c r="J127" s="325"/>
      <c r="K127" s="323"/>
    </row>
    <row r="128" customFormat="1" ht="18.75" spans="1:11">
      <c r="A128" s="319"/>
      <c r="B128" s="226"/>
      <c r="C128" s="298"/>
      <c r="D128" s="298"/>
      <c r="E128" s="320"/>
      <c r="F128" s="260"/>
      <c r="G128" s="326"/>
      <c r="H128" s="321"/>
      <c r="I128" s="322"/>
      <c r="J128" s="325"/>
      <c r="K128" s="323"/>
    </row>
    <row r="129" customFormat="1" ht="18.75" spans="1:11">
      <c r="A129" s="319"/>
      <c r="B129" s="226"/>
      <c r="C129" s="298"/>
      <c r="D129" s="298"/>
      <c r="E129" s="320"/>
      <c r="F129" s="260"/>
      <c r="G129" s="326"/>
      <c r="H129" s="321"/>
      <c r="I129" s="322"/>
      <c r="J129" s="325"/>
      <c r="K129" s="323"/>
    </row>
    <row r="130" customFormat="1" ht="18.75" spans="1:11">
      <c r="A130" s="319"/>
      <c r="B130" s="226"/>
      <c r="C130" s="298"/>
      <c r="D130" s="298"/>
      <c r="E130" s="320"/>
      <c r="F130" s="260"/>
      <c r="G130" s="326"/>
      <c r="H130" s="321"/>
      <c r="I130" s="322"/>
      <c r="J130" s="325"/>
      <c r="K130" s="323"/>
    </row>
    <row r="131" customFormat="1" ht="18.75" spans="1:11">
      <c r="A131" s="319"/>
      <c r="B131" s="226"/>
      <c r="C131" s="298"/>
      <c r="D131" s="298"/>
      <c r="E131" s="320"/>
      <c r="F131" s="260"/>
      <c r="G131" s="326"/>
      <c r="H131" s="321"/>
      <c r="I131" s="322"/>
      <c r="J131" s="325"/>
      <c r="K131" s="323"/>
    </row>
    <row r="132" customFormat="1" ht="18.75" spans="1:11">
      <c r="A132" s="319"/>
      <c r="B132" s="226"/>
      <c r="C132" s="298"/>
      <c r="D132" s="298"/>
      <c r="E132" s="320"/>
      <c r="F132" s="260"/>
      <c r="G132" s="326"/>
      <c r="H132" s="321"/>
      <c r="I132" s="322"/>
      <c r="J132" s="325"/>
      <c r="K132" s="323"/>
    </row>
    <row r="133" customFormat="1" ht="18.75" spans="1:11">
      <c r="A133" s="319"/>
      <c r="B133" s="226"/>
      <c r="C133" s="298"/>
      <c r="D133" s="298"/>
      <c r="E133" s="261"/>
      <c r="F133" s="260"/>
      <c r="G133" s="326"/>
      <c r="H133" s="321"/>
      <c r="I133" s="322"/>
      <c r="J133" s="325"/>
      <c r="K133" s="323"/>
    </row>
    <row r="134" customFormat="1" ht="18.75" spans="1:11">
      <c r="A134" s="319"/>
      <c r="B134" s="226"/>
      <c r="C134" s="298"/>
      <c r="D134" s="298"/>
      <c r="E134" s="261"/>
      <c r="F134" s="260"/>
      <c r="H134" s="321"/>
      <c r="I134" s="322"/>
      <c r="J134" s="325"/>
      <c r="K134" s="323"/>
    </row>
    <row r="135" customFormat="1" ht="18.75" spans="1:11">
      <c r="A135" s="319"/>
      <c r="B135" s="226"/>
      <c r="C135" s="298"/>
      <c r="D135" s="298"/>
      <c r="E135" s="261"/>
      <c r="F135" s="260"/>
      <c r="G135" s="326"/>
      <c r="H135" s="321"/>
      <c r="I135" s="322"/>
      <c r="J135" s="325"/>
      <c r="K135" s="323"/>
    </row>
    <row r="136" customFormat="1" ht="18.75" spans="1:11">
      <c r="A136" s="319"/>
      <c r="B136" s="226"/>
      <c r="C136" s="298"/>
      <c r="D136" s="298"/>
      <c r="E136" s="261"/>
      <c r="F136" s="260"/>
      <c r="G136" s="326"/>
      <c r="H136" s="321"/>
      <c r="I136" s="322"/>
      <c r="J136" s="325"/>
      <c r="K136" s="323"/>
    </row>
    <row r="137" customFormat="1" ht="18.75" spans="1:11">
      <c r="A137" s="319"/>
      <c r="B137" s="226"/>
      <c r="C137" s="298"/>
      <c r="D137" s="298"/>
      <c r="E137" s="261"/>
      <c r="F137" s="260"/>
      <c r="G137" s="326"/>
      <c r="H137" s="321"/>
      <c r="I137" s="322"/>
      <c r="J137" s="325"/>
      <c r="K137" s="323"/>
    </row>
    <row r="138" customFormat="1" ht="18.75" spans="1:11">
      <c r="A138" s="319"/>
      <c r="B138" s="226"/>
      <c r="C138" s="298"/>
      <c r="D138" s="298"/>
      <c r="E138" s="261"/>
      <c r="F138" s="260"/>
      <c r="G138" s="326"/>
      <c r="H138" s="321"/>
      <c r="I138" s="322"/>
      <c r="J138" s="325"/>
      <c r="K138" s="323"/>
    </row>
    <row r="139" customFormat="1" ht="18.75" spans="1:11">
      <c r="A139" s="319"/>
      <c r="B139" s="226"/>
      <c r="C139" s="298"/>
      <c r="D139" s="298"/>
      <c r="E139" s="261"/>
      <c r="F139" s="260"/>
      <c r="G139" s="326"/>
      <c r="H139" s="321"/>
      <c r="I139" s="322"/>
      <c r="J139" s="325"/>
      <c r="K139" s="323"/>
    </row>
    <row r="140" customFormat="1" ht="18.75" spans="1:11">
      <c r="A140" s="319"/>
      <c r="B140" s="226"/>
      <c r="C140" s="298"/>
      <c r="D140" s="298"/>
      <c r="E140" s="261"/>
      <c r="F140" s="260"/>
      <c r="G140" s="326"/>
      <c r="H140" s="321"/>
      <c r="I140" s="322"/>
      <c r="J140" s="325"/>
      <c r="K140" s="323"/>
    </row>
    <row r="141" customFormat="1" ht="18.75" spans="1:11">
      <c r="A141" s="319"/>
      <c r="B141" s="226"/>
      <c r="C141" s="298"/>
      <c r="D141" s="298"/>
      <c r="E141" s="261"/>
      <c r="F141" s="260"/>
      <c r="G141" s="326"/>
      <c r="H141" s="321"/>
      <c r="I141" s="322"/>
      <c r="J141" s="325"/>
      <c r="K141" s="323"/>
    </row>
    <row r="142" customFormat="1" ht="18.75" spans="1:11">
      <c r="A142" s="319"/>
      <c r="B142" s="226"/>
      <c r="C142" s="298"/>
      <c r="D142" s="298"/>
      <c r="E142" s="261"/>
      <c r="F142" s="260"/>
      <c r="G142" s="326"/>
      <c r="H142" s="321"/>
      <c r="I142" s="322"/>
      <c r="J142" s="325"/>
      <c r="K142" s="323"/>
    </row>
    <row r="143" customFormat="1" ht="18.75" spans="1:11">
      <c r="A143" s="319"/>
      <c r="B143" s="226"/>
      <c r="C143" s="298"/>
      <c r="D143" s="298"/>
      <c r="E143" s="261"/>
      <c r="F143" s="260"/>
      <c r="G143" s="326"/>
      <c r="H143" s="321"/>
      <c r="I143" s="322"/>
      <c r="J143" s="325"/>
      <c r="K143" s="323"/>
    </row>
    <row r="144" customFormat="1" ht="18.75" spans="1:11">
      <c r="A144" s="327"/>
      <c r="B144" s="226"/>
      <c r="C144" s="298"/>
      <c r="D144" s="298"/>
      <c r="E144" s="261"/>
      <c r="F144" s="260"/>
      <c r="G144" s="326"/>
      <c r="H144" s="321"/>
      <c r="I144" s="322"/>
      <c r="J144" s="325"/>
      <c r="K144" s="323"/>
    </row>
    <row r="145" ht="18.75" spans="1:11">
      <c r="A145" s="328"/>
      <c r="B145" s="329"/>
      <c r="C145" s="330"/>
      <c r="D145" s="331"/>
      <c r="E145" s="328"/>
      <c r="F145" s="332"/>
      <c r="G145" s="332"/>
      <c r="H145" s="333"/>
      <c r="I145" s="334"/>
      <c r="J145" s="335"/>
      <c r="K145" s="323"/>
    </row>
    <row r="146" ht="18.75" spans="1:11">
      <c r="A146" s="336"/>
      <c r="B146" s="337"/>
      <c r="C146" s="337"/>
      <c r="D146" s="338"/>
      <c r="E146" s="339"/>
      <c r="F146" s="340"/>
      <c r="G146" s="340"/>
      <c r="H146" s="341"/>
      <c r="I146" s="342"/>
      <c r="J146" s="343"/>
      <c r="K146" s="344"/>
    </row>
    <row r="147" ht="18.75" spans="1:11">
      <c r="A147" s="328"/>
      <c r="B147" s="329"/>
      <c r="C147" s="330"/>
      <c r="D147" s="331"/>
      <c r="E147" s="328"/>
      <c r="F147" s="345"/>
      <c r="G147" s="345"/>
      <c r="H147" s="333"/>
      <c r="I147" s="334"/>
      <c r="J147" s="346"/>
      <c r="K147" s="323"/>
    </row>
    <row r="148" ht="18.75" spans="1:11">
      <c r="A148" s="336"/>
      <c r="B148" s="337"/>
      <c r="C148" s="337"/>
      <c r="D148" s="338"/>
      <c r="E148" s="347"/>
      <c r="F148" s="348"/>
      <c r="G148" s="349"/>
      <c r="H148" s="350"/>
      <c r="I148" s="342"/>
      <c r="J148" s="351"/>
      <c r="K148" s="352"/>
    </row>
    <row r="149" ht="18.75" spans="1:11">
      <c r="A149" s="328"/>
      <c r="B149" s="329"/>
      <c r="C149" s="330"/>
      <c r="D149" s="331"/>
      <c r="E149" s="353"/>
      <c r="F149" s="345"/>
      <c r="G149" s="354"/>
      <c r="H149" s="355"/>
      <c r="I149" s="334"/>
      <c r="J149" s="346"/>
      <c r="K149" s="334"/>
    </row>
    <row r="150" ht="18.75" spans="1:11">
      <c r="A150" s="356"/>
      <c r="B150" s="356"/>
      <c r="C150" s="356"/>
      <c r="D150" s="356"/>
      <c r="E150" s="357"/>
      <c r="F150" s="358"/>
      <c r="G150" s="359"/>
      <c r="H150" s="360"/>
      <c r="I150" s="361"/>
      <c r="J150" s="360"/>
      <c r="K150" s="361"/>
    </row>
    <row r="151" ht="21" spans="1:11">
      <c r="A151" s="362"/>
      <c r="B151" s="362"/>
      <c r="C151" s="363"/>
      <c r="D151" s="362"/>
      <c r="E151" s="364"/>
      <c r="F151" s="365"/>
      <c r="G151" s="366"/>
      <c r="H151" s="367"/>
      <c r="I151" s="368"/>
      <c r="J151" s="367"/>
      <c r="K151" s="366"/>
    </row>
    <row r="152" ht="18.75" spans="1:11">
      <c r="A152" s="362"/>
      <c r="B152" s="362"/>
      <c r="C152" s="363"/>
      <c r="D152" s="362"/>
      <c r="E152" s="362"/>
      <c r="F152" s="362"/>
      <c r="G152" s="369"/>
      <c r="H152" s="370"/>
      <c r="I152" s="334"/>
      <c r="J152" s="370"/>
      <c r="K152" s="371"/>
    </row>
    <row r="153" ht="19.5" spans="1:11">
      <c r="A153" s="372"/>
      <c r="B153" s="372"/>
      <c r="C153" s="373"/>
      <c r="D153" s="372"/>
      <c r="E153" s="372"/>
      <c r="F153" s="374"/>
      <c r="G153" s="375"/>
      <c r="H153" s="376"/>
      <c r="I153" s="377"/>
      <c r="J153" s="372"/>
      <c r="K153" s="377"/>
    </row>
    <row r="154" ht="19.5" spans="1:11">
      <c r="A154" s="378"/>
      <c r="B154" s="378"/>
      <c r="C154" s="378"/>
      <c r="D154" s="378"/>
      <c r="E154" s="378"/>
      <c r="F154" s="379"/>
      <c r="G154" s="380"/>
      <c r="H154" s="378"/>
      <c r="I154" s="378"/>
      <c r="J154" s="378"/>
      <c r="K154" s="378"/>
    </row>
    <row r="155" ht="18.75" spans="1:11">
      <c r="A155" s="381"/>
      <c r="B155" s="381"/>
      <c r="C155" s="381"/>
      <c r="D155" s="381"/>
      <c r="E155" s="381"/>
      <c r="F155" s="381"/>
      <c r="G155" s="381"/>
      <c r="H155" s="381"/>
      <c r="I155" s="381"/>
      <c r="J155" s="382"/>
      <c r="K155" s="381"/>
    </row>
    <row r="156" ht="18.75" spans="1:11">
      <c r="A156" s="383"/>
      <c r="B156" s="383"/>
      <c r="C156" s="383"/>
      <c r="D156" s="383"/>
      <c r="E156" s="383"/>
      <c r="F156" s="383"/>
      <c r="G156" s="383"/>
      <c r="H156" s="383"/>
      <c r="I156" s="383"/>
      <c r="J156" s="383"/>
      <c r="K156" s="383"/>
    </row>
    <row r="157" ht="18.75" spans="1:11">
      <c r="A157" s="383"/>
      <c r="B157" s="383"/>
      <c r="C157" s="383"/>
      <c r="D157" s="383"/>
      <c r="E157" s="383"/>
      <c r="F157" s="383"/>
      <c r="G157" s="383"/>
      <c r="H157" s="383"/>
      <c r="I157" s="383"/>
      <c r="J157" s="383"/>
      <c r="K157" s="383"/>
    </row>
    <row r="158" ht="18.75" spans="1:11">
      <c r="A158" s="383"/>
      <c r="B158" s="383"/>
      <c r="C158" s="383"/>
      <c r="D158" s="383"/>
      <c r="E158" s="383"/>
      <c r="F158" s="383"/>
      <c r="G158" s="383"/>
      <c r="H158" s="383"/>
      <c r="I158" s="383"/>
      <c r="J158" s="383"/>
      <c r="K158" s="383"/>
    </row>
    <row r="159" ht="18.75" spans="1:11">
      <c r="A159" s="383"/>
      <c r="B159" s="383"/>
      <c r="C159" s="383"/>
      <c r="D159" s="383"/>
      <c r="E159" s="383"/>
      <c r="F159" s="383"/>
      <c r="G159" s="383"/>
      <c r="H159" s="383"/>
      <c r="I159" s="383"/>
      <c r="J159" s="383"/>
      <c r="K159" s="383"/>
    </row>
    <row r="160" ht="18.75" spans="1:11">
      <c r="A160" s="383"/>
      <c r="B160" s="383"/>
      <c r="C160" s="383"/>
      <c r="D160" s="383"/>
      <c r="E160" s="383"/>
      <c r="F160" s="383"/>
      <c r="G160" s="383"/>
      <c r="H160" s="383"/>
      <c r="I160" s="383"/>
      <c r="J160" s="383"/>
      <c r="K160" s="383"/>
    </row>
    <row r="161" ht="18.75" spans="1:11">
      <c r="A161" s="383"/>
      <c r="B161" s="383"/>
      <c r="C161" s="383"/>
      <c r="D161" s="383"/>
      <c r="E161" s="383"/>
      <c r="F161" s="383"/>
      <c r="G161" s="383"/>
      <c r="H161" s="383"/>
      <c r="I161" s="383"/>
      <c r="J161" s="383"/>
      <c r="K161" s="383"/>
    </row>
    <row r="162" ht="18.75" spans="1:11">
      <c r="A162" s="383"/>
      <c r="B162" s="383"/>
      <c r="C162" s="383"/>
      <c r="D162" s="383"/>
      <c r="E162" s="383"/>
      <c r="F162" s="383"/>
      <c r="G162" s="383"/>
      <c r="H162" s="383"/>
      <c r="I162" s="383"/>
      <c r="J162" s="383"/>
      <c r="K162" s="383"/>
    </row>
    <row r="163" ht="18.75" spans="1:11">
      <c r="A163" s="383"/>
      <c r="B163" s="383"/>
      <c r="C163" s="383"/>
      <c r="D163" s="383"/>
      <c r="E163" s="383"/>
      <c r="F163" s="383"/>
      <c r="G163" s="383"/>
      <c r="H163" s="383"/>
      <c r="I163" s="383"/>
      <c r="J163" s="383"/>
      <c r="K163" s="383"/>
    </row>
    <row r="164" ht="18.75" spans="1:11">
      <c r="A164" s="383"/>
      <c r="B164" s="383"/>
      <c r="C164" s="383"/>
      <c r="D164" s="383"/>
      <c r="E164" s="383"/>
      <c r="F164" s="383"/>
      <c r="G164" s="383"/>
      <c r="H164" s="383"/>
      <c r="I164" s="383"/>
      <c r="J164" s="383"/>
      <c r="K164" s="383"/>
    </row>
    <row r="165" ht="18.75" spans="1:11">
      <c r="A165" s="383"/>
      <c r="B165" s="383"/>
      <c r="C165" s="383"/>
      <c r="D165" s="383"/>
      <c r="E165" s="383"/>
      <c r="F165" s="383"/>
      <c r="G165" s="383"/>
      <c r="H165" s="383"/>
      <c r="I165" s="383"/>
      <c r="J165" s="383"/>
      <c r="K165" s="383"/>
    </row>
    <row r="166" ht="18.75" spans="1:11">
      <c r="A166" s="383"/>
      <c r="B166" s="383"/>
      <c r="C166" s="383"/>
      <c r="D166" s="383"/>
      <c r="E166" s="383"/>
      <c r="F166" s="383"/>
      <c r="G166" s="383"/>
      <c r="H166" s="383"/>
      <c r="I166" s="383"/>
      <c r="J166" s="383"/>
      <c r="K166" s="383"/>
    </row>
    <row r="167" ht="18.75" spans="1:11">
      <c r="A167" s="383"/>
      <c r="B167" s="383"/>
      <c r="C167" s="383"/>
      <c r="D167" s="383"/>
      <c r="E167" s="383"/>
      <c r="F167" s="383"/>
      <c r="G167" s="383"/>
      <c r="H167" s="383"/>
      <c r="I167" s="383"/>
      <c r="J167" s="383"/>
      <c r="K167" s="383"/>
    </row>
    <row r="168" ht="18.75" spans="1:11">
      <c r="A168" s="383"/>
      <c r="B168" s="383"/>
      <c r="C168" s="383"/>
      <c r="D168" s="383"/>
      <c r="E168" s="383"/>
      <c r="F168" s="383"/>
      <c r="G168" s="383"/>
      <c r="H168" s="383"/>
      <c r="I168" s="383"/>
      <c r="J168" s="383"/>
      <c r="K168" s="383"/>
    </row>
    <row r="169" ht="18.75" spans="1:11">
      <c r="A169" s="383"/>
      <c r="B169" s="383"/>
      <c r="C169" s="383"/>
      <c r="D169" s="383"/>
      <c r="E169" s="383"/>
      <c r="F169" s="383"/>
      <c r="G169" s="383"/>
      <c r="H169" s="383"/>
      <c r="I169" s="383"/>
      <c r="J169" s="383"/>
      <c r="K169" s="383"/>
    </row>
    <row r="170" ht="18.75" spans="1:11">
      <c r="A170" s="383"/>
      <c r="B170" s="383"/>
      <c r="C170" s="383"/>
      <c r="D170" s="383"/>
      <c r="E170" s="383"/>
      <c r="F170" s="383"/>
      <c r="G170" s="383"/>
      <c r="H170" s="383"/>
      <c r="I170" s="383"/>
      <c r="J170" s="383"/>
      <c r="K170" s="383"/>
    </row>
    <row r="171" ht="18.75" spans="1:11">
      <c r="A171" s="383"/>
      <c r="B171" s="383"/>
      <c r="C171" s="383"/>
      <c r="D171" s="383"/>
      <c r="E171" s="383"/>
      <c r="F171" s="383"/>
      <c r="G171" s="383"/>
      <c r="H171" s="383"/>
      <c r="I171" s="383"/>
      <c r="J171" s="383"/>
      <c r="K171" s="383"/>
    </row>
    <row r="172" ht="18.75" spans="1:11">
      <c r="A172" s="383"/>
      <c r="B172" s="383"/>
      <c r="C172" s="383"/>
      <c r="D172" s="383"/>
      <c r="E172" s="383"/>
      <c r="F172" s="383"/>
      <c r="G172" s="383"/>
      <c r="H172" s="383"/>
      <c r="I172" s="383"/>
      <c r="J172" s="383"/>
      <c r="K172" s="383"/>
    </row>
    <row r="173" ht="18.75" spans="1:11">
      <c r="A173" s="383"/>
      <c r="B173" s="383"/>
      <c r="C173" s="383"/>
      <c r="D173" s="383"/>
      <c r="E173" s="383"/>
      <c r="F173" s="383"/>
      <c r="G173" s="383"/>
      <c r="H173" s="383"/>
      <c r="I173" s="383"/>
      <c r="J173" s="383"/>
      <c r="K173" s="383"/>
    </row>
    <row r="174" ht="18.75" spans="1:11">
      <c r="A174" s="383"/>
      <c r="B174" s="383"/>
      <c r="C174" s="383"/>
      <c r="D174" s="383"/>
      <c r="E174" s="383"/>
      <c r="F174" s="383"/>
      <c r="G174" s="383"/>
      <c r="H174" s="383"/>
      <c r="I174" s="383"/>
      <c r="J174" s="383"/>
      <c r="K174" s="383"/>
    </row>
    <row r="175" ht="18.75" spans="1:11">
      <c r="A175" s="383"/>
      <c r="B175" s="383"/>
      <c r="C175" s="383"/>
      <c r="D175" s="383"/>
      <c r="E175" s="383"/>
      <c r="F175" s="383"/>
      <c r="G175" s="383"/>
      <c r="H175" s="383"/>
      <c r="I175" s="383"/>
      <c r="J175" s="383"/>
      <c r="K175" s="383"/>
    </row>
    <row r="176" ht="18.75" spans="1:11">
      <c r="A176" s="383"/>
      <c r="B176" s="383"/>
      <c r="C176" s="383"/>
      <c r="D176" s="383"/>
      <c r="E176" s="383"/>
      <c r="F176" s="383"/>
      <c r="G176" s="383"/>
      <c r="H176" s="383"/>
      <c r="I176" s="383"/>
      <c r="J176" s="383"/>
      <c r="K176" s="383"/>
    </row>
    <row r="177" ht="18.75" spans="1:11">
      <c r="A177" s="383"/>
      <c r="B177" s="383"/>
      <c r="C177" s="383"/>
      <c r="D177" s="383"/>
      <c r="E177" s="383"/>
      <c r="F177" s="383"/>
      <c r="G177" s="383"/>
      <c r="H177" s="383"/>
      <c r="I177" s="383"/>
      <c r="J177" s="383"/>
      <c r="K177" s="383"/>
    </row>
    <row r="178" ht="18.75" spans="1:11">
      <c r="A178" s="383"/>
      <c r="B178" s="383"/>
      <c r="C178" s="383"/>
      <c r="D178" s="383"/>
      <c r="E178" s="383"/>
      <c r="F178" s="383"/>
      <c r="G178" s="383"/>
      <c r="H178" s="383"/>
      <c r="I178" s="383"/>
      <c r="J178" s="383"/>
      <c r="K178" s="383"/>
    </row>
    <row r="179" ht="18.75" spans="1:11">
      <c r="A179" s="383"/>
      <c r="B179" s="383"/>
      <c r="C179" s="383"/>
      <c r="D179" s="383"/>
      <c r="E179" s="383"/>
      <c r="F179" s="383"/>
      <c r="G179" s="383"/>
      <c r="H179" s="383"/>
      <c r="I179" s="383"/>
      <c r="J179" s="383"/>
      <c r="K179" s="383"/>
    </row>
    <row r="180" ht="18.75" spans="1:11">
      <c r="A180" s="383"/>
      <c r="B180" s="383"/>
      <c r="C180" s="383"/>
      <c r="D180" s="383"/>
      <c r="E180" s="383"/>
      <c r="F180" s="383"/>
      <c r="G180" s="383"/>
      <c r="H180" s="383"/>
      <c r="I180" s="383"/>
      <c r="J180" s="383"/>
      <c r="K180" s="383"/>
    </row>
    <row r="181" ht="18.75" spans="1:11">
      <c r="A181" s="383"/>
      <c r="B181" s="383"/>
      <c r="C181" s="383"/>
      <c r="D181" s="383"/>
      <c r="E181" s="383"/>
      <c r="F181" s="383"/>
      <c r="G181" s="383"/>
      <c r="H181" s="383"/>
      <c r="I181" s="383"/>
      <c r="J181" s="383"/>
      <c r="K181" s="383"/>
    </row>
    <row r="182" ht="18.75" spans="1:11">
      <c r="A182" s="383"/>
      <c r="B182" s="383"/>
      <c r="C182" s="383"/>
      <c r="D182" s="383"/>
      <c r="E182" s="383"/>
      <c r="F182" s="383"/>
      <c r="G182" s="383"/>
      <c r="H182" s="383"/>
      <c r="I182" s="383"/>
      <c r="J182" s="383"/>
      <c r="K182" s="383"/>
    </row>
    <row r="183" ht="18.75" spans="1:11">
      <c r="A183" s="383"/>
      <c r="B183" s="383"/>
      <c r="C183" s="383"/>
      <c r="D183" s="383"/>
      <c r="E183" s="383"/>
      <c r="F183" s="383"/>
      <c r="G183" s="383"/>
      <c r="H183" s="383"/>
      <c r="I183" s="383"/>
      <c r="J183" s="383"/>
      <c r="K183" s="383"/>
    </row>
    <row r="184" ht="18.75" spans="1:11">
      <c r="A184" s="383"/>
      <c r="B184" s="383"/>
      <c r="C184" s="383"/>
      <c r="D184" s="383"/>
      <c r="E184" s="383"/>
      <c r="F184" s="383"/>
      <c r="G184" s="383"/>
      <c r="H184" s="383"/>
      <c r="I184" s="383"/>
      <c r="J184" s="383"/>
      <c r="K184" s="383"/>
    </row>
    <row r="185" ht="18.75" spans="1:11">
      <c r="A185" s="383"/>
      <c r="B185" s="383"/>
      <c r="C185" s="383"/>
      <c r="D185" s="383"/>
      <c r="E185" s="383"/>
      <c r="F185" s="383"/>
      <c r="G185" s="383"/>
      <c r="H185" s="383"/>
      <c r="I185" s="383"/>
      <c r="J185" s="383"/>
      <c r="K185" s="383"/>
    </row>
    <row r="186" ht="18.75" spans="1:11">
      <c r="A186" s="383"/>
      <c r="B186" s="383"/>
      <c r="C186" s="383"/>
      <c r="D186" s="383"/>
      <c r="E186" s="383"/>
      <c r="F186" s="383"/>
      <c r="G186" s="383"/>
      <c r="H186" s="383"/>
      <c r="I186" s="383"/>
      <c r="J186" s="383"/>
      <c r="K186" s="383"/>
    </row>
    <row r="187" ht="18.75" spans="1:11">
      <c r="A187" s="383"/>
      <c r="B187" s="383"/>
      <c r="C187" s="383"/>
      <c r="D187" s="383"/>
      <c r="E187" s="383"/>
      <c r="F187" s="383"/>
      <c r="G187" s="383"/>
      <c r="H187" s="383"/>
      <c r="I187" s="383"/>
      <c r="J187" s="383"/>
      <c r="K187" s="383"/>
    </row>
    <row r="188" ht="18.75" spans="1:11">
      <c r="A188" s="383"/>
      <c r="B188" s="383"/>
      <c r="C188" s="383"/>
      <c r="D188" s="383"/>
      <c r="E188" s="383"/>
      <c r="F188" s="383"/>
      <c r="G188" s="383"/>
      <c r="H188" s="383"/>
      <c r="I188" s="383"/>
      <c r="J188" s="383"/>
      <c r="K188" s="383"/>
    </row>
    <row r="189" ht="18.75" spans="1:11">
      <c r="A189" s="383"/>
      <c r="B189" s="383"/>
      <c r="C189" s="383"/>
      <c r="D189" s="383"/>
      <c r="E189" s="383"/>
      <c r="F189" s="383"/>
      <c r="G189" s="383"/>
      <c r="H189" s="383"/>
      <c r="I189" s="383"/>
      <c r="J189" s="383"/>
      <c r="K189" s="383"/>
    </row>
    <row r="190" ht="18.75" spans="1:11">
      <c r="A190" s="383"/>
      <c r="B190" s="383"/>
      <c r="C190" s="383"/>
      <c r="D190" s="383"/>
      <c r="E190" s="383"/>
      <c r="F190" s="383"/>
      <c r="G190" s="383"/>
      <c r="H190" s="383"/>
      <c r="I190" s="383"/>
      <c r="J190" s="383"/>
      <c r="K190" s="383"/>
    </row>
    <row r="191" ht="18.75" spans="1:11">
      <c r="A191" s="383"/>
      <c r="B191" s="383"/>
      <c r="C191" s="383"/>
      <c r="D191" s="383"/>
      <c r="E191" s="383"/>
      <c r="F191" s="383"/>
      <c r="G191" s="383"/>
      <c r="H191" s="383"/>
      <c r="I191" s="383"/>
      <c r="J191" s="383"/>
      <c r="K191" s="383"/>
    </row>
    <row r="192" ht="18.75" spans="1:11">
      <c r="A192" s="383"/>
      <c r="B192" s="383"/>
      <c r="C192" s="383"/>
      <c r="D192" s="383"/>
      <c r="E192" s="383"/>
      <c r="F192" s="383"/>
      <c r="G192" s="383"/>
      <c r="H192" s="383"/>
      <c r="I192" s="383"/>
      <c r="J192" s="383"/>
      <c r="K192" s="383"/>
    </row>
    <row r="193" ht="18.75" spans="1:11">
      <c r="A193" s="383"/>
      <c r="B193" s="383"/>
      <c r="C193" s="383"/>
      <c r="D193" s="383"/>
      <c r="E193" s="383"/>
      <c r="F193" s="383"/>
      <c r="G193" s="383"/>
      <c r="H193" s="383"/>
      <c r="I193" s="383"/>
      <c r="J193" s="383"/>
      <c r="K193" s="383"/>
    </row>
    <row r="194" ht="18.75" spans="1:11">
      <c r="A194" s="383"/>
      <c r="B194" s="383"/>
      <c r="C194" s="383"/>
      <c r="D194" s="383"/>
      <c r="E194" s="383"/>
      <c r="F194" s="383"/>
      <c r="G194" s="383"/>
      <c r="H194" s="383"/>
      <c r="I194" s="383"/>
      <c r="J194" s="383"/>
      <c r="K194" s="383"/>
    </row>
    <row r="195" ht="18.75" spans="1:11">
      <c r="A195" s="383"/>
      <c r="B195" s="383"/>
      <c r="C195" s="383"/>
      <c r="D195" s="383"/>
      <c r="E195" s="383"/>
      <c r="F195" s="383"/>
      <c r="G195" s="383"/>
      <c r="H195" s="383"/>
      <c r="I195" s="383"/>
      <c r="J195" s="383"/>
      <c r="K195" s="383"/>
    </row>
    <row r="196" ht="18.75" spans="1:11">
      <c r="A196" s="383"/>
      <c r="B196" s="383"/>
      <c r="C196" s="383"/>
      <c r="D196" s="383"/>
      <c r="E196" s="383"/>
      <c r="F196" s="383"/>
      <c r="G196" s="383"/>
      <c r="H196" s="383"/>
      <c r="I196" s="383"/>
      <c r="J196" s="383"/>
      <c r="K196" s="383"/>
    </row>
    <row r="197" ht="18.75" spans="1:11">
      <c r="A197" s="383"/>
      <c r="B197" s="383"/>
      <c r="C197" s="383"/>
      <c r="D197" s="383"/>
      <c r="E197" s="383"/>
      <c r="F197" s="383"/>
      <c r="G197" s="383"/>
      <c r="H197" s="383"/>
      <c r="I197" s="383"/>
      <c r="J197" s="383"/>
      <c r="K197" s="383"/>
    </row>
    <row r="198" ht="18.75" spans="1:11">
      <c r="A198" s="383"/>
      <c r="B198" s="383"/>
      <c r="C198" s="383"/>
      <c r="D198" s="383"/>
      <c r="E198" s="383"/>
      <c r="F198" s="383"/>
      <c r="G198" s="383"/>
      <c r="H198" s="383"/>
      <c r="I198" s="383"/>
      <c r="J198" s="383"/>
      <c r="K198" s="383"/>
    </row>
    <row r="199" ht="18.75" spans="1:11">
      <c r="A199" s="383"/>
      <c r="B199" s="383"/>
      <c r="C199" s="383"/>
      <c r="D199" s="383"/>
      <c r="E199" s="383"/>
      <c r="F199" s="383"/>
      <c r="G199" s="383"/>
      <c r="H199" s="383"/>
      <c r="I199" s="383"/>
      <c r="J199" s="383"/>
      <c r="K199" s="383"/>
    </row>
    <row r="200" ht="18.75" spans="1:11">
      <c r="A200" s="383"/>
      <c r="B200" s="383"/>
      <c r="C200" s="383"/>
      <c r="D200" s="383"/>
      <c r="E200" s="383"/>
      <c r="F200" s="383"/>
      <c r="G200" s="383"/>
      <c r="H200" s="383"/>
      <c r="I200" s="383"/>
      <c r="J200" s="383"/>
      <c r="K200" s="383"/>
    </row>
    <row r="201" ht="18.75" spans="1:11">
      <c r="A201" s="383"/>
      <c r="B201" s="383"/>
      <c r="C201" s="383"/>
      <c r="D201" s="383"/>
      <c r="E201" s="383"/>
      <c r="F201" s="383"/>
      <c r="G201" s="383"/>
      <c r="H201" s="383"/>
      <c r="I201" s="383"/>
      <c r="J201" s="383"/>
      <c r="K201" s="383"/>
    </row>
    <row r="202" ht="18.75" spans="1:11">
      <c r="A202" s="383"/>
      <c r="B202" s="383"/>
      <c r="C202" s="383"/>
      <c r="D202" s="383"/>
      <c r="E202" s="383"/>
      <c r="F202" s="383"/>
      <c r="G202" s="383"/>
      <c r="H202" s="383"/>
      <c r="I202" s="383"/>
      <c r="J202" s="383"/>
      <c r="K202" s="383"/>
    </row>
    <row r="203" ht="18.75" spans="1:11">
      <c r="A203" s="383"/>
      <c r="B203" s="383"/>
      <c r="C203" s="383"/>
      <c r="D203" s="383"/>
      <c r="E203" s="383"/>
      <c r="F203" s="383"/>
      <c r="G203" s="383"/>
      <c r="H203" s="383"/>
      <c r="I203" s="383"/>
      <c r="J203" s="383"/>
      <c r="K203" s="383"/>
    </row>
    <row r="204" ht="18.75" spans="1:11">
      <c r="A204" s="383"/>
      <c r="B204" s="383"/>
      <c r="C204" s="383"/>
      <c r="D204" s="383"/>
      <c r="E204" s="383"/>
      <c r="F204" s="383"/>
      <c r="G204" s="383"/>
      <c r="H204" s="383"/>
      <c r="I204" s="383"/>
      <c r="J204" s="383"/>
      <c r="K204" s="383"/>
    </row>
    <row r="205" ht="18.75" spans="1:11">
      <c r="A205" s="383"/>
      <c r="B205" s="383"/>
      <c r="C205" s="383"/>
      <c r="D205" s="383"/>
      <c r="E205" s="383"/>
      <c r="F205" s="383"/>
      <c r="G205" s="383"/>
      <c r="H205" s="383"/>
      <c r="I205" s="383"/>
      <c r="J205" s="383"/>
      <c r="K205" s="383"/>
    </row>
    <row r="206" ht="18.75" spans="1:11">
      <c r="A206" s="383"/>
      <c r="B206" s="383"/>
      <c r="C206" s="383"/>
      <c r="D206" s="383"/>
      <c r="E206" s="383"/>
      <c r="F206" s="383"/>
      <c r="G206" s="383"/>
      <c r="H206" s="383"/>
      <c r="I206" s="383"/>
      <c r="J206" s="383"/>
      <c r="K206" s="383"/>
    </row>
    <row r="207" ht="18.75" spans="1:11">
      <c r="A207" s="383"/>
      <c r="B207" s="383"/>
      <c r="C207" s="383"/>
      <c r="D207" s="383"/>
      <c r="E207" s="383"/>
      <c r="F207" s="383"/>
      <c r="G207" s="383"/>
      <c r="H207" s="383"/>
      <c r="I207" s="383"/>
      <c r="J207" s="383"/>
      <c r="K207" s="383"/>
    </row>
    <row r="208" spans="1:11">
      <c r="A208" s="384"/>
      <c r="B208" s="384"/>
      <c r="C208" s="384"/>
      <c r="D208" s="384"/>
      <c r="E208" s="384"/>
      <c r="F208" s="384"/>
      <c r="G208" s="384"/>
      <c r="H208" s="384"/>
      <c r="I208" s="384"/>
      <c r="J208" s="384"/>
      <c r="K208" s="384"/>
    </row>
    <row r="209" spans="1:11">
      <c r="A209" s="384"/>
      <c r="B209" s="384"/>
      <c r="C209" s="384"/>
      <c r="D209" s="384"/>
      <c r="E209" s="384"/>
      <c r="F209" s="384"/>
      <c r="G209" s="384"/>
      <c r="H209" s="384"/>
      <c r="I209" s="384"/>
      <c r="J209" s="384"/>
      <c r="K209" s="384"/>
    </row>
    <row r="210" spans="1:11">
      <c r="A210" s="384"/>
      <c r="B210" s="384"/>
      <c r="C210" s="384"/>
      <c r="D210" s="384"/>
      <c r="E210" s="384"/>
      <c r="F210" s="384"/>
      <c r="G210" s="384"/>
      <c r="H210" s="384"/>
      <c r="I210" s="384"/>
      <c r="J210" s="384"/>
      <c r="K210" s="384"/>
    </row>
    <row r="211" spans="1:11">
      <c r="A211" s="384"/>
      <c r="B211" s="384"/>
      <c r="C211" s="384"/>
      <c r="D211" s="384"/>
      <c r="E211" s="384"/>
      <c r="F211" s="384"/>
      <c r="G211" s="384"/>
      <c r="H211" s="384"/>
      <c r="I211" s="384"/>
      <c r="J211" s="384"/>
      <c r="K211" s="384"/>
    </row>
    <row r="212" spans="1:11">
      <c r="A212" s="384"/>
      <c r="B212" s="384"/>
      <c r="C212" s="384"/>
      <c r="D212" s="384"/>
      <c r="E212" s="384"/>
      <c r="F212" s="384"/>
      <c r="G212" s="384"/>
      <c r="H212" s="384"/>
      <c r="I212" s="384"/>
      <c r="J212" s="384"/>
      <c r="K212" s="384"/>
    </row>
    <row r="213" spans="1:11">
      <c r="A213" s="384"/>
      <c r="B213" s="384"/>
      <c r="C213" s="384"/>
      <c r="D213" s="384"/>
      <c r="E213" s="384"/>
      <c r="F213" s="384"/>
      <c r="G213" s="384"/>
      <c r="H213" s="384"/>
      <c r="I213" s="384"/>
      <c r="J213" s="384"/>
      <c r="K213" s="384"/>
    </row>
    <row r="214" spans="1:11">
      <c r="A214" s="384"/>
      <c r="B214" s="384"/>
      <c r="C214" s="384"/>
      <c r="D214" s="384"/>
      <c r="E214" s="384"/>
      <c r="F214" s="384"/>
      <c r="G214" s="384"/>
      <c r="H214" s="384"/>
      <c r="I214" s="384"/>
      <c r="J214" s="384"/>
      <c r="K214" s="384"/>
    </row>
    <row r="215" spans="1:11">
      <c r="A215" s="384"/>
      <c r="B215" s="384"/>
      <c r="C215" s="384"/>
      <c r="D215" s="384"/>
      <c r="E215" s="384"/>
      <c r="F215" s="384"/>
      <c r="G215" s="384"/>
      <c r="H215" s="384"/>
      <c r="I215" s="384"/>
      <c r="J215" s="384"/>
      <c r="K215" s="384"/>
    </row>
    <row r="216" spans="1:11">
      <c r="A216" s="384"/>
      <c r="B216" s="384"/>
      <c r="C216" s="384"/>
      <c r="D216" s="384"/>
      <c r="E216" s="384"/>
      <c r="F216" s="384"/>
      <c r="G216" s="384"/>
      <c r="H216" s="384"/>
      <c r="I216" s="384"/>
      <c r="J216" s="384"/>
      <c r="K216" s="384"/>
    </row>
  </sheetData>
  <mergeCells count="26">
    <mergeCell ref="B1:L1"/>
    <mergeCell ref="B2:L2"/>
    <mergeCell ref="B3:L3"/>
    <mergeCell ref="B4:L4"/>
    <mergeCell ref="I5:L5"/>
    <mergeCell ref="I7:K7"/>
    <mergeCell ref="E81:F81"/>
    <mergeCell ref="A5:A6"/>
    <mergeCell ref="A82:A83"/>
    <mergeCell ref="B5:B6"/>
    <mergeCell ref="B82:B83"/>
    <mergeCell ref="C5:C6"/>
    <mergeCell ref="C82:C83"/>
    <mergeCell ref="D82:D83"/>
    <mergeCell ref="E5:E6"/>
    <mergeCell ref="E82:E83"/>
    <mergeCell ref="F5:F6"/>
    <mergeCell ref="F82:F83"/>
    <mergeCell ref="G5:G6"/>
    <mergeCell ref="G82:G83"/>
    <mergeCell ref="H82:H83"/>
    <mergeCell ref="I82:I83"/>
    <mergeCell ref="J82:J83"/>
    <mergeCell ref="K82:K83"/>
    <mergeCell ref="L6:L7"/>
    <mergeCell ref="M5:M6"/>
  </mergeCells>
  <pageMargins left="0.7" right="0.7" top="0.75" bottom="0.75" header="0.3" footer="0.3"/>
  <pageSetup paperSize="9" scale="61" orientation="landscape"/>
  <headerFooter/>
  <rowBreaks count="3" manualBreakCount="3">
    <brk id="37" max="10" man="1"/>
    <brk id="80" max="16383" man="1"/>
    <brk id="112" max="16383"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N39"/>
  <sheetViews>
    <sheetView workbookViewId="0">
      <selection activeCell="E15" sqref="E15"/>
    </sheetView>
  </sheetViews>
  <sheetFormatPr defaultColWidth="9" defaultRowHeight="15"/>
  <cols>
    <col min="1" max="1" width="17.7142857142857" customWidth="1"/>
    <col min="2" max="2" width="14" customWidth="1"/>
    <col min="3" max="3" width="14.5714285714286" customWidth="1"/>
    <col min="4" max="4" width="17.1428571428571" customWidth="1"/>
    <col min="5" max="5" width="24.8571428571429" customWidth="1"/>
    <col min="6" max="6" width="29.8571428571429" customWidth="1"/>
    <col min="7" max="7" width="17" customWidth="1"/>
    <col min="8" max="9" width="15.1428571428571" customWidth="1"/>
    <col min="10" max="10" width="13.5714285714286" customWidth="1"/>
    <col min="11" max="11" width="13.7142857142857" customWidth="1"/>
    <col min="12" max="12" width="13.1428571428571" customWidth="1"/>
    <col min="13" max="13" width="13.2857142857143" customWidth="1"/>
    <col min="14" max="14" width="26.4285714285714" customWidth="1"/>
  </cols>
  <sheetData>
    <row r="1" ht="26.25" spans="1:14">
      <c r="A1" s="157"/>
      <c r="B1" s="158" t="s">
        <v>0</v>
      </c>
      <c r="C1" s="159"/>
      <c r="D1" s="159"/>
      <c r="E1" s="159"/>
      <c r="F1" s="159"/>
      <c r="G1" s="159"/>
      <c r="H1" s="159"/>
      <c r="I1" s="159"/>
      <c r="J1" s="159"/>
      <c r="K1" s="159"/>
      <c r="L1" s="159"/>
      <c r="M1" s="160"/>
      <c r="N1" s="161"/>
    </row>
    <row r="2" ht="23.25" spans="1:14">
      <c r="A2" s="162"/>
      <c r="B2" s="163" t="s">
        <v>1</v>
      </c>
      <c r="C2" s="164"/>
      <c r="D2" s="164"/>
      <c r="E2" s="164"/>
      <c r="F2" s="164"/>
      <c r="G2" s="164"/>
      <c r="H2" s="164"/>
      <c r="I2" s="164"/>
      <c r="J2" s="164"/>
      <c r="K2" s="164"/>
      <c r="L2" s="165"/>
      <c r="M2" s="160"/>
      <c r="N2" s="166"/>
    </row>
    <row r="3" ht="26.25" spans="1:14">
      <c r="A3" s="162"/>
      <c r="B3" s="167" t="s">
        <v>115</v>
      </c>
      <c r="C3" s="168"/>
      <c r="D3" s="168"/>
      <c r="E3" s="168"/>
      <c r="F3" s="168"/>
      <c r="G3" s="168"/>
      <c r="H3" s="168"/>
      <c r="I3" s="168"/>
      <c r="J3" s="168"/>
      <c r="K3" s="168"/>
      <c r="L3" s="169"/>
      <c r="M3" s="160"/>
      <c r="N3" s="166"/>
    </row>
    <row r="4" ht="24" spans="1:14">
      <c r="A4" s="170"/>
      <c r="B4" s="171" t="s">
        <v>3</v>
      </c>
      <c r="C4" s="172"/>
      <c r="D4" s="172"/>
      <c r="E4" s="172"/>
      <c r="F4" s="172"/>
      <c r="G4" s="172"/>
      <c r="H4" s="172"/>
      <c r="I4" s="172"/>
      <c r="J4" s="172"/>
      <c r="K4" s="172"/>
      <c r="L4" s="172"/>
      <c r="M4" s="173"/>
      <c r="N4" s="174"/>
    </row>
    <row r="5" ht="15.75" spans="1:14">
      <c r="A5" s="175" t="s">
        <v>4</v>
      </c>
      <c r="B5" s="176" t="s">
        <v>79</v>
      </c>
      <c r="C5" s="176" t="s">
        <v>6</v>
      </c>
      <c r="D5" s="176" t="s">
        <v>7</v>
      </c>
      <c r="E5" s="177" t="s">
        <v>8</v>
      </c>
      <c r="F5" s="177" t="s">
        <v>9</v>
      </c>
      <c r="G5" s="177" t="s">
        <v>10</v>
      </c>
      <c r="H5" s="177" t="s">
        <v>11</v>
      </c>
      <c r="I5" s="178" t="s">
        <v>12</v>
      </c>
      <c r="J5" s="179"/>
      <c r="K5" s="179"/>
      <c r="L5" s="179"/>
      <c r="M5" s="179"/>
      <c r="N5" s="180" t="s">
        <v>13</v>
      </c>
    </row>
    <row r="6" ht="15.75" spans="1:14">
      <c r="A6" s="181"/>
      <c r="B6" s="182"/>
      <c r="C6" s="182"/>
      <c r="D6" s="182"/>
      <c r="E6" s="183"/>
      <c r="F6" s="183"/>
      <c r="G6" s="183"/>
      <c r="H6" s="183" t="s">
        <v>14</v>
      </c>
      <c r="I6" s="184" t="s">
        <v>116</v>
      </c>
      <c r="J6" s="184" t="s">
        <v>117</v>
      </c>
      <c r="K6" s="185"/>
      <c r="L6" s="186" t="s">
        <v>118</v>
      </c>
      <c r="M6" s="187"/>
      <c r="N6" s="188"/>
    </row>
    <row r="7" ht="18.75" spans="1:14">
      <c r="A7" s="189"/>
      <c r="B7" s="190"/>
      <c r="C7" s="190"/>
      <c r="D7" s="190"/>
      <c r="E7" s="190"/>
      <c r="F7" s="190"/>
      <c r="G7" s="190"/>
      <c r="H7" s="191"/>
      <c r="I7" s="183" t="s">
        <v>119</v>
      </c>
      <c r="J7" s="192" t="s">
        <v>120</v>
      </c>
      <c r="K7" s="193" t="s">
        <v>121</v>
      </c>
      <c r="L7" s="194" t="s">
        <v>122</v>
      </c>
      <c r="M7" s="194" t="s">
        <v>123</v>
      </c>
      <c r="N7" s="195"/>
    </row>
    <row r="8" ht="15.75" spans="1:14">
      <c r="A8" s="196" t="s">
        <v>124</v>
      </c>
      <c r="B8" s="197"/>
      <c r="C8" s="198">
        <v>45658</v>
      </c>
      <c r="D8" s="199" t="s">
        <v>31</v>
      </c>
      <c r="E8" s="199" t="s">
        <v>32</v>
      </c>
      <c r="F8" s="199" t="s">
        <v>33</v>
      </c>
      <c r="G8" s="199" t="s">
        <v>99</v>
      </c>
      <c r="H8" s="199" t="s">
        <v>34</v>
      </c>
      <c r="I8" s="199"/>
      <c r="J8" s="199"/>
      <c r="K8" s="199"/>
      <c r="L8" s="199"/>
      <c r="M8" s="200"/>
      <c r="N8" s="201" t="s">
        <v>35</v>
      </c>
    </row>
    <row r="9" ht="15.75" spans="1:14">
      <c r="A9" s="196" t="s">
        <v>125</v>
      </c>
      <c r="B9" s="197"/>
      <c r="C9" s="202"/>
      <c r="D9" s="199"/>
      <c r="E9" s="199"/>
      <c r="F9" s="199"/>
      <c r="G9" s="199"/>
      <c r="H9" s="199"/>
      <c r="I9" s="199"/>
      <c r="J9" s="199"/>
      <c r="K9" s="199"/>
      <c r="L9" s="199"/>
      <c r="M9" s="200"/>
      <c r="N9" s="201" t="s">
        <v>37</v>
      </c>
    </row>
    <row r="10" ht="18.75" spans="1:14">
      <c r="A10" s="196" t="s">
        <v>126</v>
      </c>
      <c r="B10" s="197"/>
      <c r="C10" s="202"/>
      <c r="D10" s="199"/>
      <c r="E10" s="199"/>
      <c r="F10" s="199"/>
      <c r="G10" s="199"/>
      <c r="H10" s="199"/>
      <c r="I10" s="199"/>
      <c r="J10" s="203"/>
      <c r="K10" s="204"/>
      <c r="L10" s="205"/>
      <c r="M10" s="206"/>
      <c r="N10" s="207" t="s">
        <v>39</v>
      </c>
    </row>
    <row r="11" ht="18.75" spans="1:14">
      <c r="A11" s="196" t="s">
        <v>127</v>
      </c>
      <c r="B11" s="197"/>
      <c r="C11" s="202"/>
      <c r="D11" s="199"/>
      <c r="E11" s="199"/>
      <c r="F11" s="199"/>
      <c r="G11" s="199"/>
      <c r="H11" s="199"/>
      <c r="I11" s="208"/>
      <c r="J11" s="209"/>
      <c r="K11" s="210"/>
      <c r="L11" s="205"/>
      <c r="M11" s="211"/>
      <c r="N11" s="212" t="s">
        <v>41</v>
      </c>
    </row>
    <row r="12" ht="18.75" spans="1:14">
      <c r="A12" s="196" t="s">
        <v>128</v>
      </c>
      <c r="B12" s="197"/>
      <c r="C12" s="213"/>
      <c r="D12" s="199"/>
      <c r="E12" s="199"/>
      <c r="F12" s="199"/>
      <c r="G12" s="199"/>
      <c r="H12" s="214"/>
      <c r="I12" s="215"/>
      <c r="J12" s="216"/>
      <c r="K12" s="217"/>
      <c r="L12" s="218"/>
      <c r="M12" s="219"/>
      <c r="N12" s="220" t="s">
        <v>43</v>
      </c>
    </row>
    <row r="13" ht="15.75" spans="1:14">
      <c r="A13" s="196" t="s">
        <v>129</v>
      </c>
      <c r="B13" s="197"/>
      <c r="C13" s="213"/>
      <c r="D13" s="199"/>
      <c r="E13" s="199"/>
      <c r="F13" s="199"/>
      <c r="G13" s="199"/>
      <c r="H13" s="199"/>
      <c r="I13" s="208"/>
      <c r="J13" s="221"/>
      <c r="K13" s="210"/>
      <c r="L13" s="222"/>
      <c r="M13" s="223"/>
      <c r="N13" s="224" t="s">
        <v>45</v>
      </c>
    </row>
    <row r="14" ht="15.75" spans="1:14">
      <c r="A14" s="225" t="s">
        <v>46</v>
      </c>
      <c r="B14" s="197"/>
      <c r="C14" s="213"/>
      <c r="D14" s="199"/>
      <c r="E14" s="199"/>
      <c r="F14" s="199"/>
      <c r="G14" s="199"/>
      <c r="H14" s="199"/>
      <c r="I14" s="208"/>
      <c r="J14" s="221"/>
      <c r="K14" s="210"/>
      <c r="L14" s="226"/>
      <c r="M14" s="227"/>
      <c r="N14" s="228" t="s">
        <v>47</v>
      </c>
    </row>
    <row r="15" ht="15.75" spans="1:14">
      <c r="A15" s="225" t="s">
        <v>48</v>
      </c>
      <c r="B15" s="197"/>
      <c r="C15" s="213"/>
      <c r="D15" s="199"/>
      <c r="E15" s="199"/>
      <c r="F15" s="199"/>
      <c r="G15" s="199"/>
      <c r="H15" s="199"/>
      <c r="I15" s="208"/>
      <c r="J15" s="221"/>
      <c r="K15" s="229"/>
      <c r="L15" s="226"/>
      <c r="M15" s="227"/>
      <c r="N15" s="228"/>
    </row>
    <row r="16" ht="15.75" spans="1:14">
      <c r="A16" s="230" t="s">
        <v>49</v>
      </c>
      <c r="B16" s="197"/>
      <c r="C16" s="213"/>
      <c r="D16" s="199"/>
      <c r="E16" s="199"/>
      <c r="F16" s="199"/>
      <c r="G16" s="199"/>
      <c r="H16" s="199"/>
      <c r="I16" s="208"/>
      <c r="J16" s="221"/>
      <c r="K16" s="229"/>
      <c r="L16" s="226"/>
      <c r="M16" s="227"/>
      <c r="N16" s="228"/>
    </row>
    <row r="17" customFormat="1" ht="15.75" spans="1:14">
      <c r="A17" s="231"/>
      <c r="B17" s="232"/>
      <c r="C17" s="213"/>
      <c r="D17" s="199"/>
      <c r="E17" s="199"/>
      <c r="F17" s="199"/>
      <c r="G17" s="199"/>
      <c r="H17" s="199"/>
      <c r="I17" s="208"/>
      <c r="J17" s="221"/>
      <c r="K17" s="229"/>
      <c r="L17" s="226"/>
      <c r="M17" s="233"/>
      <c r="N17" s="234" t="s">
        <v>50</v>
      </c>
    </row>
    <row r="18" ht="15.75" spans="1:14">
      <c r="A18" s="235"/>
      <c r="B18" s="236"/>
      <c r="C18" s="237"/>
      <c r="D18" s="237"/>
      <c r="E18" s="237"/>
      <c r="F18" s="238"/>
      <c r="G18" s="239"/>
      <c r="H18" s="240"/>
      <c r="I18" s="240"/>
      <c r="J18" s="239"/>
      <c r="K18" s="240"/>
      <c r="L18" s="226"/>
      <c r="M18" s="241"/>
      <c r="N18" s="242" t="s">
        <v>51</v>
      </c>
    </row>
    <row r="19" ht="15.75" spans="1:14">
      <c r="A19" s="243"/>
      <c r="B19" s="244"/>
      <c r="C19" s="245"/>
      <c r="D19" s="245"/>
      <c r="E19" s="245"/>
      <c r="F19" s="246"/>
      <c r="G19" s="247"/>
      <c r="H19" s="248"/>
      <c r="I19" s="248"/>
      <c r="J19" s="247"/>
      <c r="K19" s="248"/>
      <c r="L19" s="226"/>
      <c r="M19" s="249"/>
      <c r="N19" s="250" t="s">
        <v>52</v>
      </c>
    </row>
    <row r="20" ht="18.75" spans="1:14">
      <c r="A20" s="251"/>
      <c r="B20" s="251"/>
      <c r="C20" s="252"/>
      <c r="D20" s="253"/>
      <c r="E20" s="253"/>
      <c r="F20" s="254"/>
      <c r="G20" s="255"/>
      <c r="H20" s="256"/>
      <c r="I20" s="257"/>
      <c r="J20" s="258"/>
      <c r="K20" s="257"/>
      <c r="L20" s="226"/>
      <c r="M20" s="233"/>
      <c r="N20" s="234" t="s">
        <v>53</v>
      </c>
    </row>
    <row r="21" ht="18.75" spans="1:14">
      <c r="A21" s="251"/>
      <c r="B21" s="251"/>
      <c r="C21" s="252"/>
      <c r="D21" s="253"/>
      <c r="E21" s="253"/>
      <c r="F21" s="254"/>
      <c r="G21" s="255"/>
      <c r="H21" s="256"/>
      <c r="I21" s="257"/>
      <c r="J21" s="258"/>
      <c r="K21" s="257"/>
      <c r="L21" s="226"/>
      <c r="M21" s="233"/>
      <c r="N21" s="234" t="s">
        <v>54</v>
      </c>
    </row>
    <row r="22" ht="18.75" spans="1:14">
      <c r="A22" s="251"/>
      <c r="B22" s="251"/>
      <c r="C22" s="252"/>
      <c r="D22" s="253"/>
      <c r="E22" s="253"/>
      <c r="F22" s="254"/>
      <c r="G22" s="255"/>
      <c r="H22" s="256"/>
      <c r="I22" s="257"/>
      <c r="J22" s="258"/>
      <c r="K22" s="257"/>
      <c r="L22" s="226"/>
      <c r="M22" s="233"/>
      <c r="N22" s="234" t="s">
        <v>55</v>
      </c>
    </row>
    <row r="23" ht="18.75" spans="1:14">
      <c r="A23" s="251"/>
      <c r="B23" s="251"/>
      <c r="C23" s="252"/>
      <c r="D23" s="253"/>
      <c r="E23" s="253"/>
      <c r="F23" s="254"/>
      <c r="G23" s="255"/>
      <c r="H23" s="256"/>
      <c r="I23" s="257"/>
      <c r="J23" s="258"/>
      <c r="K23" s="257"/>
      <c r="L23" s="226"/>
      <c r="M23" s="227"/>
      <c r="N23" s="228"/>
    </row>
    <row r="24" ht="18.75" spans="1:14">
      <c r="A24" s="251"/>
      <c r="B24" s="251"/>
      <c r="C24" s="252"/>
      <c r="D24" s="253"/>
      <c r="E24" s="253"/>
      <c r="F24" s="254"/>
      <c r="G24" s="255"/>
      <c r="H24" s="256"/>
      <c r="I24" s="257"/>
      <c r="J24" s="258"/>
      <c r="K24" s="257"/>
      <c r="L24" s="226"/>
      <c r="M24" s="227"/>
      <c r="N24" s="228"/>
    </row>
    <row r="25" ht="18.75" spans="1:14">
      <c r="A25" s="251"/>
      <c r="B25" s="251"/>
      <c r="C25" s="252"/>
      <c r="D25" s="253"/>
      <c r="E25" s="253"/>
      <c r="F25" s="254"/>
      <c r="G25" s="255"/>
      <c r="H25" s="256"/>
      <c r="I25" s="257"/>
      <c r="J25" s="258"/>
      <c r="K25" s="257"/>
      <c r="L25" s="226"/>
      <c r="M25" s="227"/>
      <c r="N25" s="228"/>
    </row>
    <row r="26" ht="18.75" spans="1:14">
      <c r="A26" s="251"/>
      <c r="B26" s="251"/>
      <c r="C26" s="252"/>
      <c r="D26" s="253"/>
      <c r="E26" s="253"/>
      <c r="F26" s="254"/>
      <c r="G26" s="255"/>
      <c r="H26" s="256"/>
      <c r="I26" s="257"/>
      <c r="J26" s="258"/>
      <c r="K26" s="257"/>
      <c r="L26" s="226"/>
      <c r="M26" s="227"/>
      <c r="N26" s="228"/>
    </row>
    <row r="27" ht="18.75" spans="1:14">
      <c r="A27" s="251"/>
      <c r="B27" s="251"/>
      <c r="C27" s="252"/>
      <c r="D27" s="253"/>
      <c r="E27" s="253"/>
      <c r="F27" s="254"/>
      <c r="G27" s="255"/>
      <c r="H27" s="256"/>
      <c r="I27" s="257"/>
      <c r="J27" s="258"/>
      <c r="K27" s="257"/>
      <c r="L27" s="226"/>
      <c r="M27" s="227"/>
      <c r="N27" s="228"/>
    </row>
    <row r="28" ht="18.75" spans="1:14">
      <c r="A28" s="251"/>
      <c r="B28" s="251"/>
      <c r="C28" s="252"/>
      <c r="D28" s="253"/>
      <c r="E28" s="253"/>
      <c r="F28" s="254"/>
      <c r="G28" s="255"/>
      <c r="H28" s="256"/>
      <c r="I28" s="257"/>
      <c r="J28" s="258"/>
      <c r="K28" s="257"/>
      <c r="L28" s="226"/>
      <c r="M28" s="227"/>
      <c r="N28" s="228"/>
    </row>
    <row r="29" ht="18.75" spans="1:14">
      <c r="A29" s="251"/>
      <c r="B29" s="251"/>
      <c r="C29" s="252"/>
      <c r="D29" s="253"/>
      <c r="E29" s="253"/>
      <c r="F29" s="259"/>
      <c r="G29" s="260"/>
      <c r="H29" s="261"/>
      <c r="I29" s="257"/>
      <c r="J29" s="258"/>
      <c r="K29" s="257"/>
      <c r="L29" s="226"/>
      <c r="M29" s="227"/>
      <c r="N29" s="228"/>
    </row>
    <row r="30" ht="18.75" spans="1:14">
      <c r="A30" s="251"/>
      <c r="B30" s="251"/>
      <c r="C30" s="252"/>
      <c r="D30" s="253"/>
      <c r="E30" s="253"/>
      <c r="F30" s="259"/>
      <c r="G30" s="260"/>
      <c r="H30" s="261"/>
      <c r="I30" s="257"/>
      <c r="J30" s="258"/>
      <c r="K30" s="257"/>
      <c r="L30" s="226"/>
      <c r="M30" s="227"/>
      <c r="N30" s="228"/>
    </row>
    <row r="31" ht="18.75" spans="1:14">
      <c r="A31" s="251"/>
      <c r="B31" s="251"/>
      <c r="C31" s="252"/>
      <c r="D31" s="253"/>
      <c r="E31" s="253"/>
      <c r="F31" s="259"/>
      <c r="G31" s="260"/>
      <c r="H31" s="261"/>
      <c r="I31" s="257"/>
      <c r="J31" s="258"/>
      <c r="K31" s="257"/>
      <c r="L31" s="226"/>
      <c r="M31" s="227"/>
      <c r="N31" s="228"/>
    </row>
    <row r="32" ht="18.75" spans="1:14">
      <c r="A32" s="253"/>
      <c r="B32" s="253"/>
      <c r="C32" s="252"/>
      <c r="D32" s="253"/>
      <c r="E32" s="253"/>
      <c r="F32" s="259"/>
      <c r="G32" s="260"/>
      <c r="H32" s="261"/>
      <c r="I32" s="257"/>
      <c r="J32" s="258"/>
      <c r="K32" s="257"/>
      <c r="L32" s="226"/>
      <c r="M32" s="227"/>
      <c r="N32" s="228"/>
    </row>
    <row r="33" ht="19.5" spans="1:14">
      <c r="A33" s="262"/>
      <c r="B33" s="262"/>
      <c r="C33" s="262"/>
      <c r="D33" s="263"/>
      <c r="E33" s="263"/>
      <c r="F33" s="263"/>
      <c r="G33" s="264"/>
      <c r="H33" s="265"/>
      <c r="I33" s="266"/>
      <c r="J33" s="267"/>
      <c r="K33" s="268"/>
      <c r="L33" s="226"/>
      <c r="M33" s="227"/>
      <c r="N33" s="228"/>
    </row>
    <row r="34" spans="1:14">
      <c r="C34" s="269"/>
      <c r="D34" s="270"/>
      <c r="E34" s="271"/>
      <c r="F34" s="271"/>
      <c r="G34" s="271"/>
      <c r="H34" s="271"/>
      <c r="I34" s="271"/>
      <c r="J34" s="271"/>
      <c r="K34" s="271"/>
    </row>
    <row r="35" ht="21" spans="1:14">
      <c r="C35" s="272"/>
      <c r="D35" s="270"/>
      <c r="E35" s="271"/>
      <c r="F35" s="271"/>
      <c r="G35" s="273"/>
      <c r="H35" s="271"/>
      <c r="I35" s="271"/>
      <c r="J35" s="271"/>
      <c r="K35" s="274"/>
    </row>
    <row r="36" ht="18.75" spans="1:14">
      <c r="G36" s="275"/>
    </row>
    <row r="38" ht="18.75" spans="1:14">
      <c r="A38" s="276"/>
      <c r="B38" s="226"/>
      <c r="C38" s="226"/>
      <c r="D38" s="226"/>
      <c r="E38" s="277"/>
      <c r="F38" s="278"/>
      <c r="G38" s="279"/>
      <c r="H38" s="280"/>
      <c r="I38" s="281"/>
      <c r="J38" s="282"/>
      <c r="K38" s="283"/>
    </row>
    <row r="39" ht="18.75" spans="1:14">
      <c r="A39" s="276"/>
      <c r="B39" s="226"/>
      <c r="C39" s="226"/>
      <c r="D39" s="226"/>
      <c r="E39" s="277"/>
      <c r="F39" s="278"/>
      <c r="G39" s="279"/>
      <c r="H39" s="280"/>
      <c r="I39" s="281"/>
      <c r="J39" s="282"/>
      <c r="K39" s="283"/>
    </row>
  </sheetData>
  <mergeCells count="14">
    <mergeCell ref="B1:L1"/>
    <mergeCell ref="B2:L2"/>
    <mergeCell ref="B3:L3"/>
    <mergeCell ref="B4:L4"/>
    <mergeCell ref="I5:M5"/>
    <mergeCell ref="J6:K6"/>
    <mergeCell ref="L6:M6"/>
    <mergeCell ref="A5:A6"/>
    <mergeCell ref="B5:B6"/>
    <mergeCell ref="C5:C6"/>
    <mergeCell ref="E5:E6"/>
    <mergeCell ref="F5:F6"/>
    <mergeCell ref="G5:G6"/>
    <mergeCell ref="N5:N6"/>
  </mergeCells>
  <pageMargins left="0.7" right="0.7" top="0.75" bottom="0.75" header="0.3" footer="0.3"/>
  <pageSetup paperSize="9" orientation="portrait"/>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102"/>
  <sheetViews>
    <sheetView topLeftCell="A3" workbookViewId="0">
      <selection activeCell="B4" sqref="B4:F21"/>
    </sheetView>
  </sheetViews>
  <sheetFormatPr defaultColWidth="9.14285714285714" defaultRowHeight="15"/>
  <cols>
    <col min="2" max="2" width="64.4285714285714" customWidth="1"/>
    <col min="3" max="3" width="9.71428571428571" customWidth="1"/>
    <col min="4" max="4" width="12.7142857142857" customWidth="1"/>
    <col min="5" max="5" width="15.8571428571429" customWidth="1"/>
    <col min="6" max="6" width="32.1428571428571" customWidth="1"/>
  </cols>
  <sheetData>
    <row r="1" ht="20.25" spans="2:15">
      <c r="B1" s="139" t="s">
        <v>130</v>
      </c>
      <c r="C1" s="139"/>
      <c r="D1" s="139"/>
      <c r="E1" s="139"/>
      <c r="F1" s="139"/>
      <c r="G1" s="140"/>
      <c r="H1" s="140"/>
      <c r="I1" s="140"/>
      <c r="J1" s="140"/>
      <c r="K1" s="140"/>
      <c r="L1" s="140"/>
      <c r="M1" s="140"/>
      <c r="N1" s="140"/>
      <c r="O1" s="140"/>
    </row>
    <row r="2" ht="18" spans="2:15">
      <c r="B2" s="141" t="s">
        <v>131</v>
      </c>
      <c r="C2" s="141" t="s">
        <v>132</v>
      </c>
      <c r="D2" s="142" t="s">
        <v>133</v>
      </c>
      <c r="E2" s="142"/>
      <c r="F2" s="143" t="s">
        <v>134</v>
      </c>
      <c r="G2" s="140"/>
      <c r="H2" s="140"/>
      <c r="I2" s="140"/>
      <c r="J2" s="140"/>
      <c r="K2" s="140"/>
      <c r="L2" s="140"/>
      <c r="M2" s="140"/>
      <c r="N2" s="140"/>
      <c r="O2" s="140"/>
    </row>
    <row r="3" ht="18" spans="2:15">
      <c r="B3" s="141"/>
      <c r="C3" s="141"/>
      <c r="D3" s="141" t="s">
        <v>135</v>
      </c>
      <c r="E3" s="144" t="s">
        <v>136</v>
      </c>
      <c r="F3" s="145"/>
      <c r="G3" s="140"/>
      <c r="H3" s="140"/>
      <c r="I3" s="140"/>
      <c r="J3" s="140"/>
      <c r="K3" s="140"/>
      <c r="L3" s="140"/>
      <c r="M3" s="140"/>
      <c r="N3" s="140"/>
      <c r="O3" s="140"/>
    </row>
    <row r="4" ht="15.75" spans="2:15">
      <c r="B4" s="146" t="s">
        <v>137</v>
      </c>
      <c r="C4" s="146"/>
      <c r="D4" s="146"/>
      <c r="E4" s="71"/>
      <c r="F4" s="70"/>
      <c r="G4" s="140"/>
      <c r="H4" s="147"/>
      <c r="I4" s="148"/>
      <c r="J4" s="140"/>
      <c r="K4" s="140"/>
      <c r="L4" s="140"/>
      <c r="M4" s="140"/>
      <c r="N4" s="140"/>
      <c r="O4" s="140"/>
    </row>
    <row r="5" ht="15.75" spans="2:15">
      <c r="B5" s="146"/>
      <c r="C5" s="146"/>
      <c r="D5" s="146"/>
      <c r="E5" s="71"/>
      <c r="F5" s="70"/>
      <c r="G5" s="140"/>
      <c r="H5" s="147"/>
      <c r="I5" s="148"/>
      <c r="J5" s="140"/>
      <c r="K5" s="140"/>
      <c r="L5" s="140"/>
      <c r="M5" s="140"/>
      <c r="N5" s="140"/>
      <c r="O5" s="140"/>
    </row>
    <row r="6" spans="2:15">
      <c r="B6" s="70" t="s">
        <v>138</v>
      </c>
      <c r="C6" s="70" t="s">
        <v>139</v>
      </c>
      <c r="D6" s="71">
        <v>55</v>
      </c>
      <c r="E6" s="71">
        <v>80</v>
      </c>
      <c r="F6" s="70"/>
      <c r="G6" s="140"/>
      <c r="H6" s="140"/>
      <c r="I6" s="149"/>
      <c r="J6" s="140"/>
      <c r="K6" s="140"/>
      <c r="L6" s="140"/>
      <c r="M6" s="140"/>
      <c r="N6" s="140"/>
      <c r="O6" s="140"/>
    </row>
    <row r="7" spans="2:15">
      <c r="B7" s="70" t="s">
        <v>140</v>
      </c>
      <c r="C7" s="70" t="s">
        <v>139</v>
      </c>
      <c r="D7" s="71">
        <v>95</v>
      </c>
      <c r="E7" s="71">
        <v>135</v>
      </c>
      <c r="F7" s="70"/>
      <c r="G7" s="140"/>
      <c r="H7" s="140"/>
      <c r="I7" s="149"/>
      <c r="J7" s="140"/>
      <c r="K7" s="140"/>
      <c r="L7" s="140"/>
      <c r="M7" s="140"/>
      <c r="N7" s="140"/>
      <c r="O7" s="140"/>
    </row>
    <row r="8" spans="2:15">
      <c r="B8" s="70" t="s">
        <v>141</v>
      </c>
      <c r="C8" s="70" t="s">
        <v>139</v>
      </c>
      <c r="D8" s="71">
        <v>75</v>
      </c>
      <c r="E8" s="71">
        <v>110</v>
      </c>
      <c r="F8" s="70"/>
      <c r="G8" s="140"/>
      <c r="H8" s="140"/>
      <c r="I8" s="149"/>
      <c r="J8" s="140"/>
      <c r="K8" s="140"/>
      <c r="L8" s="140"/>
      <c r="M8" s="140"/>
      <c r="N8" s="140"/>
      <c r="O8" s="140"/>
    </row>
    <row r="9" spans="2:15">
      <c r="B9" s="70" t="s">
        <v>142</v>
      </c>
      <c r="C9" s="70" t="s">
        <v>139</v>
      </c>
      <c r="D9" s="71">
        <v>130</v>
      </c>
      <c r="E9" s="71">
        <v>185</v>
      </c>
      <c r="F9" s="70"/>
      <c r="G9" s="140"/>
      <c r="H9" s="140"/>
      <c r="I9" s="149"/>
      <c r="J9" s="140"/>
      <c r="K9" s="140"/>
      <c r="L9" s="140"/>
      <c r="M9" s="140"/>
      <c r="N9" s="140"/>
      <c r="O9" s="140"/>
    </row>
    <row r="10" spans="2:15">
      <c r="B10" s="70" t="s">
        <v>143</v>
      </c>
      <c r="C10" s="70" t="s">
        <v>139</v>
      </c>
      <c r="D10" s="71">
        <v>145</v>
      </c>
      <c r="E10" s="71">
        <v>210</v>
      </c>
      <c r="F10" s="70"/>
      <c r="G10" s="140"/>
      <c r="H10" s="140"/>
      <c r="I10" s="149"/>
      <c r="J10" s="140"/>
      <c r="K10" s="140"/>
      <c r="L10" s="140"/>
      <c r="M10" s="140"/>
      <c r="N10" s="140"/>
      <c r="O10" s="140"/>
    </row>
    <row r="11" spans="2:15">
      <c r="B11" s="70" t="s">
        <v>144</v>
      </c>
      <c r="C11" s="70" t="s">
        <v>139</v>
      </c>
      <c r="D11" s="71">
        <v>130</v>
      </c>
      <c r="E11" s="71">
        <v>185</v>
      </c>
      <c r="F11" s="70"/>
      <c r="G11" s="140"/>
      <c r="H11" s="140"/>
      <c r="I11" s="149"/>
      <c r="J11" s="140"/>
      <c r="K11" s="140"/>
      <c r="L11" s="140"/>
      <c r="M11" s="140"/>
      <c r="N11" s="140"/>
      <c r="O11" s="140"/>
    </row>
    <row r="12" spans="2:15">
      <c r="B12" s="70" t="s">
        <v>145</v>
      </c>
      <c r="C12" s="70" t="s">
        <v>139</v>
      </c>
      <c r="D12" s="71">
        <v>75</v>
      </c>
      <c r="E12" s="71">
        <v>110</v>
      </c>
      <c r="F12" s="70"/>
      <c r="G12" s="140"/>
      <c r="H12" s="140"/>
      <c r="I12" s="149"/>
      <c r="J12" s="140"/>
      <c r="K12" s="140"/>
      <c r="L12" s="140"/>
      <c r="M12" s="140"/>
      <c r="N12" s="140"/>
      <c r="O12" s="140"/>
    </row>
    <row r="13" spans="2:15">
      <c r="B13" s="70" t="s">
        <v>146</v>
      </c>
      <c r="C13" s="70" t="s">
        <v>139</v>
      </c>
      <c r="D13" s="71">
        <v>50</v>
      </c>
      <c r="E13" s="71">
        <v>70</v>
      </c>
      <c r="F13" s="70"/>
      <c r="G13" s="140"/>
      <c r="H13" s="140"/>
      <c r="I13" s="149"/>
      <c r="J13" s="140"/>
      <c r="K13" s="140"/>
      <c r="L13" s="140"/>
      <c r="M13" s="140"/>
      <c r="N13" s="140"/>
      <c r="O13" s="140"/>
    </row>
    <row r="14" spans="2:15">
      <c r="B14" s="70" t="s">
        <v>147</v>
      </c>
      <c r="C14" s="70" t="s">
        <v>139</v>
      </c>
      <c r="D14" s="71">
        <v>110</v>
      </c>
      <c r="E14" s="71">
        <v>160</v>
      </c>
      <c r="F14" s="70"/>
      <c r="G14" s="140"/>
      <c r="H14" s="140"/>
      <c r="I14" s="149"/>
      <c r="J14" s="140"/>
      <c r="K14" s="140"/>
      <c r="L14" s="140"/>
      <c r="M14" s="140"/>
      <c r="N14" s="140"/>
      <c r="O14" s="140"/>
    </row>
    <row r="15" spans="2:15">
      <c r="B15" s="70" t="s">
        <v>148</v>
      </c>
      <c r="C15" s="70" t="s">
        <v>139</v>
      </c>
      <c r="D15" s="71">
        <v>110</v>
      </c>
      <c r="E15" s="71">
        <v>160</v>
      </c>
      <c r="F15" s="70"/>
      <c r="G15" s="140"/>
      <c r="H15" s="140"/>
      <c r="I15" s="149"/>
      <c r="J15" s="140"/>
      <c r="K15" s="140"/>
      <c r="L15" s="140"/>
      <c r="M15" s="140"/>
      <c r="N15" s="140"/>
      <c r="O15" s="140"/>
    </row>
    <row r="16" spans="2:15">
      <c r="B16" s="70" t="s">
        <v>149</v>
      </c>
      <c r="C16" s="70" t="s">
        <v>139</v>
      </c>
      <c r="D16" s="71">
        <v>245</v>
      </c>
      <c r="E16" s="71">
        <v>350</v>
      </c>
      <c r="F16" s="70"/>
      <c r="G16" s="140"/>
      <c r="H16" s="140"/>
      <c r="I16" s="149"/>
      <c r="J16" s="140"/>
      <c r="K16" s="140"/>
      <c r="L16" s="140"/>
      <c r="M16" s="140"/>
      <c r="N16" s="140"/>
      <c r="O16" s="140"/>
    </row>
    <row r="17" spans="2:15">
      <c r="B17" s="70" t="s">
        <v>150</v>
      </c>
      <c r="C17" s="70" t="s">
        <v>139</v>
      </c>
      <c r="D17" s="71">
        <v>325</v>
      </c>
      <c r="E17" s="71">
        <v>465</v>
      </c>
      <c r="F17" s="70"/>
      <c r="G17" s="140"/>
      <c r="H17" s="140"/>
      <c r="I17" s="149"/>
      <c r="J17" s="140"/>
      <c r="K17" s="140"/>
      <c r="L17" s="140"/>
      <c r="M17" s="140"/>
      <c r="N17" s="140"/>
      <c r="O17" s="140"/>
    </row>
    <row r="18" spans="2:15">
      <c r="B18" s="70" t="s">
        <v>151</v>
      </c>
      <c r="C18" s="70" t="s">
        <v>139</v>
      </c>
      <c r="D18" s="71">
        <v>245</v>
      </c>
      <c r="E18" s="71">
        <v>350</v>
      </c>
      <c r="F18" s="70"/>
      <c r="G18" s="140"/>
      <c r="H18" s="140"/>
      <c r="I18" s="149"/>
      <c r="J18" s="140"/>
      <c r="K18" s="140"/>
      <c r="L18" s="140"/>
      <c r="M18" s="140"/>
      <c r="N18" s="140"/>
      <c r="O18" s="140"/>
    </row>
    <row r="19" spans="2:15">
      <c r="B19" s="70" t="s">
        <v>152</v>
      </c>
      <c r="C19" s="70" t="s">
        <v>139</v>
      </c>
      <c r="D19" s="71">
        <v>245</v>
      </c>
      <c r="E19" s="71">
        <v>350</v>
      </c>
      <c r="F19" s="70"/>
      <c r="G19" s="140"/>
      <c r="H19" s="140"/>
      <c r="I19" s="149"/>
      <c r="J19" s="140"/>
      <c r="K19" s="140"/>
      <c r="L19" s="140"/>
      <c r="M19" s="140"/>
      <c r="N19" s="140"/>
      <c r="O19" s="140"/>
    </row>
    <row r="20" spans="2:15">
      <c r="B20" s="70" t="s">
        <v>153</v>
      </c>
      <c r="C20" s="70" t="s">
        <v>139</v>
      </c>
      <c r="D20" s="71">
        <v>40</v>
      </c>
      <c r="E20" s="71">
        <v>55</v>
      </c>
      <c r="F20" s="70"/>
      <c r="G20" s="140"/>
      <c r="H20" s="140"/>
      <c r="I20" s="149"/>
      <c r="J20" s="140"/>
      <c r="K20" s="140"/>
      <c r="L20" s="140"/>
      <c r="M20" s="140"/>
      <c r="N20" s="140"/>
      <c r="O20" s="140"/>
    </row>
    <row r="21" spans="2:15">
      <c r="B21" s="70" t="s">
        <v>154</v>
      </c>
      <c r="C21" s="70" t="s">
        <v>139</v>
      </c>
      <c r="D21" s="71">
        <v>50</v>
      </c>
      <c r="E21" s="71">
        <v>70</v>
      </c>
      <c r="F21" s="70"/>
      <c r="G21" s="140"/>
      <c r="H21" s="140"/>
      <c r="I21" s="149"/>
      <c r="J21" s="140"/>
      <c r="K21" s="140"/>
      <c r="L21" s="140"/>
      <c r="M21" s="140"/>
      <c r="N21" s="140"/>
      <c r="O21" s="140"/>
    </row>
    <row r="22" spans="2:15">
      <c r="B22" s="70"/>
      <c r="C22" s="70"/>
      <c r="D22" s="71"/>
      <c r="E22" s="71"/>
      <c r="F22" s="70"/>
      <c r="G22" s="140"/>
      <c r="H22" s="140"/>
      <c r="I22" s="149"/>
      <c r="J22" s="140"/>
      <c r="K22" s="140"/>
      <c r="L22" s="140"/>
      <c r="M22" s="140"/>
      <c r="N22" s="140"/>
      <c r="O22" s="140"/>
    </row>
    <row r="23" ht="15.75" spans="2:15">
      <c r="B23" s="146" t="s">
        <v>155</v>
      </c>
      <c r="C23" s="70"/>
      <c r="D23" s="71"/>
      <c r="E23" s="71"/>
      <c r="F23" s="70"/>
      <c r="G23" s="140"/>
      <c r="H23" s="140"/>
      <c r="I23" s="149"/>
      <c r="J23" s="140"/>
      <c r="K23" s="140"/>
      <c r="L23" s="140"/>
      <c r="M23" s="140"/>
      <c r="N23" s="140"/>
      <c r="O23" s="140"/>
    </row>
    <row r="24" ht="15.75" spans="2:15">
      <c r="B24" s="146"/>
      <c r="C24" s="70"/>
      <c r="D24" s="71"/>
      <c r="E24" s="71"/>
      <c r="F24" s="70"/>
      <c r="G24" s="140"/>
      <c r="H24" s="140"/>
      <c r="I24" s="149"/>
      <c r="J24" s="140"/>
      <c r="K24" s="140"/>
      <c r="L24" s="140"/>
      <c r="M24" s="140"/>
      <c r="N24" s="140"/>
      <c r="O24" s="140"/>
    </row>
    <row r="25" ht="30" customHeight="1" spans="2:15">
      <c r="B25" s="70" t="s">
        <v>156</v>
      </c>
      <c r="C25" s="70" t="s">
        <v>139</v>
      </c>
      <c r="D25" s="71">
        <v>65</v>
      </c>
      <c r="E25" s="71">
        <v>65</v>
      </c>
      <c r="F25" s="150" t="s">
        <v>157</v>
      </c>
      <c r="G25" s="140"/>
      <c r="H25" s="140"/>
      <c r="I25" s="149"/>
      <c r="J25" s="140"/>
      <c r="K25" s="140"/>
      <c r="L25" s="140"/>
      <c r="M25" s="140"/>
      <c r="N25" s="140"/>
      <c r="O25" s="140"/>
    </row>
    <row r="26" spans="2:15">
      <c r="B26" s="70"/>
      <c r="C26" s="70"/>
      <c r="D26" s="71"/>
      <c r="E26" s="71"/>
      <c r="F26" s="70"/>
      <c r="G26" s="140"/>
      <c r="H26" s="140"/>
      <c r="I26" s="149"/>
      <c r="J26" s="140"/>
      <c r="K26" s="140"/>
      <c r="L26" s="140"/>
      <c r="M26" s="140"/>
      <c r="N26" s="140"/>
      <c r="O26" s="140"/>
    </row>
    <row r="27" ht="15.75" spans="2:15">
      <c r="B27" s="146" t="s">
        <v>158</v>
      </c>
      <c r="C27" s="146"/>
      <c r="D27" s="151"/>
      <c r="E27" s="71"/>
      <c r="F27" s="70"/>
      <c r="G27" s="140"/>
      <c r="H27" s="140"/>
      <c r="I27" s="149"/>
      <c r="J27" s="140"/>
      <c r="K27" s="140"/>
      <c r="L27" s="140"/>
      <c r="M27" s="140"/>
      <c r="N27" s="140"/>
      <c r="O27" s="140"/>
    </row>
    <row r="28" ht="15.75" spans="2:15">
      <c r="B28" s="146"/>
      <c r="C28" s="146"/>
      <c r="D28" s="151"/>
      <c r="E28" s="71"/>
      <c r="F28" s="70"/>
      <c r="G28" s="140"/>
      <c r="H28" s="140"/>
      <c r="I28" s="149"/>
      <c r="J28" s="140"/>
      <c r="K28" s="140"/>
      <c r="L28" s="140"/>
      <c r="M28" s="140"/>
      <c r="N28" s="140"/>
      <c r="O28" s="140"/>
    </row>
    <row r="29" spans="2:15">
      <c r="B29" s="70" t="s">
        <v>159</v>
      </c>
      <c r="C29" s="70" t="s">
        <v>139</v>
      </c>
      <c r="D29" s="71">
        <v>50</v>
      </c>
      <c r="E29" s="71">
        <v>65</v>
      </c>
      <c r="F29" s="70"/>
      <c r="G29" s="140"/>
      <c r="H29" s="140"/>
      <c r="I29" s="149"/>
      <c r="J29" s="140"/>
      <c r="K29" s="140"/>
      <c r="L29" s="140"/>
      <c r="M29" s="140"/>
      <c r="N29" s="140"/>
      <c r="O29" s="140"/>
    </row>
    <row r="30" spans="2:15">
      <c r="B30" s="70" t="s">
        <v>160</v>
      </c>
      <c r="C30" s="70" t="s">
        <v>139</v>
      </c>
      <c r="D30" s="71">
        <v>80</v>
      </c>
      <c r="E30" s="71">
        <v>115</v>
      </c>
      <c r="F30" s="70"/>
      <c r="G30" s="140"/>
      <c r="H30" s="140"/>
      <c r="I30" s="149"/>
      <c r="J30" s="140"/>
      <c r="K30" s="140"/>
      <c r="L30" s="140"/>
      <c r="M30" s="140"/>
      <c r="N30" s="140"/>
      <c r="O30" s="140"/>
    </row>
    <row r="31" ht="15.75" spans="2:15">
      <c r="B31" s="70" t="s">
        <v>161</v>
      </c>
      <c r="C31" s="70" t="s">
        <v>139</v>
      </c>
      <c r="D31" s="71">
        <v>70</v>
      </c>
      <c r="E31" s="71">
        <v>90</v>
      </c>
      <c r="F31" s="70"/>
      <c r="G31" s="140"/>
      <c r="H31" s="152"/>
      <c r="I31" s="149"/>
      <c r="J31" s="140"/>
      <c r="K31" s="140"/>
      <c r="L31" s="140"/>
      <c r="M31" s="140"/>
      <c r="N31" s="140"/>
      <c r="O31" s="140"/>
    </row>
    <row r="32" spans="2:15">
      <c r="B32" s="70"/>
      <c r="C32" s="70"/>
      <c r="D32" s="71"/>
      <c r="E32" s="71"/>
      <c r="F32" s="70"/>
      <c r="G32" s="140"/>
      <c r="H32" s="140"/>
      <c r="I32" s="149"/>
      <c r="J32" s="140"/>
      <c r="K32" s="140"/>
      <c r="L32" s="140"/>
      <c r="M32" s="140"/>
      <c r="N32" s="140"/>
      <c r="O32" s="140"/>
    </row>
    <row r="33" ht="15.75" spans="2:15">
      <c r="B33" s="146" t="s">
        <v>162</v>
      </c>
      <c r="C33" s="146"/>
      <c r="D33" s="151"/>
      <c r="E33" s="153"/>
      <c r="F33" s="70"/>
      <c r="G33" s="140"/>
      <c r="H33" s="140"/>
      <c r="I33" s="149"/>
      <c r="J33" s="140"/>
      <c r="K33" s="140"/>
      <c r="L33" s="140"/>
      <c r="M33" s="140"/>
      <c r="N33" s="140"/>
      <c r="O33" s="140"/>
    </row>
    <row r="34" ht="15.75" spans="2:15">
      <c r="B34" s="146"/>
      <c r="C34" s="146"/>
      <c r="D34" s="151"/>
      <c r="E34" s="153"/>
      <c r="F34" s="70"/>
      <c r="G34" s="140"/>
      <c r="H34" s="140"/>
      <c r="I34" s="149"/>
      <c r="J34" s="140"/>
      <c r="K34" s="140"/>
      <c r="L34" s="140"/>
      <c r="M34" s="140"/>
      <c r="N34" s="140"/>
      <c r="O34" s="140"/>
    </row>
    <row r="35" spans="2:15">
      <c r="B35" s="70" t="s">
        <v>163</v>
      </c>
      <c r="C35" s="70" t="s">
        <v>139</v>
      </c>
      <c r="D35" s="71">
        <v>25</v>
      </c>
      <c r="E35" s="71">
        <v>35</v>
      </c>
      <c r="F35" s="70"/>
      <c r="G35" s="140"/>
      <c r="H35" s="140"/>
      <c r="I35" s="149"/>
      <c r="J35" s="140"/>
      <c r="K35" s="140"/>
      <c r="L35" s="140"/>
      <c r="M35" s="140"/>
      <c r="N35" s="140"/>
      <c r="O35" s="140"/>
    </row>
    <row r="36" spans="2:15">
      <c r="B36" s="70" t="s">
        <v>164</v>
      </c>
      <c r="C36" s="70" t="s">
        <v>139</v>
      </c>
      <c r="D36" s="71">
        <v>160</v>
      </c>
      <c r="E36" s="71">
        <v>225</v>
      </c>
      <c r="F36" s="70"/>
      <c r="G36" s="140"/>
      <c r="H36" s="140"/>
      <c r="I36" s="149"/>
      <c r="J36" s="140"/>
      <c r="K36" s="140"/>
      <c r="L36" s="140"/>
      <c r="M36" s="140"/>
      <c r="N36" s="140"/>
      <c r="O36" s="140"/>
    </row>
    <row r="37" spans="2:15">
      <c r="B37" s="70" t="s">
        <v>165</v>
      </c>
      <c r="C37" s="70" t="s">
        <v>139</v>
      </c>
      <c r="D37" s="71">
        <v>100</v>
      </c>
      <c r="E37" s="71">
        <v>145</v>
      </c>
      <c r="F37" s="70"/>
      <c r="G37" s="140"/>
      <c r="H37" s="140"/>
      <c r="I37" s="149"/>
      <c r="J37" s="140"/>
      <c r="K37" s="140"/>
      <c r="L37" s="140"/>
      <c r="M37" s="140"/>
      <c r="N37" s="140"/>
      <c r="O37" s="140"/>
    </row>
    <row r="38" spans="2:15">
      <c r="B38" s="70" t="s">
        <v>166</v>
      </c>
      <c r="C38" s="70" t="s">
        <v>139</v>
      </c>
      <c r="D38" s="71">
        <v>115</v>
      </c>
      <c r="E38" s="71">
        <v>165</v>
      </c>
      <c r="F38" s="70"/>
      <c r="G38" s="140"/>
      <c r="H38" s="140"/>
      <c r="I38" s="149"/>
      <c r="J38" s="140"/>
      <c r="K38" s="140"/>
      <c r="L38" s="140"/>
      <c r="M38" s="140"/>
      <c r="N38" s="140"/>
      <c r="O38" s="140"/>
    </row>
    <row r="39" spans="2:15">
      <c r="B39" s="70" t="s">
        <v>167</v>
      </c>
      <c r="C39" s="70" t="s">
        <v>139</v>
      </c>
      <c r="D39" s="71">
        <v>120</v>
      </c>
      <c r="E39" s="71">
        <v>170</v>
      </c>
      <c r="F39" s="70"/>
      <c r="G39" s="140"/>
      <c r="H39" s="140"/>
      <c r="I39" s="149"/>
      <c r="J39" s="140"/>
      <c r="K39" s="140"/>
      <c r="L39" s="140"/>
      <c r="M39" s="140"/>
      <c r="N39" s="140"/>
      <c r="O39" s="140"/>
    </row>
    <row r="40" spans="2:15">
      <c r="B40" s="70" t="s">
        <v>168</v>
      </c>
      <c r="C40" s="70" t="s">
        <v>139</v>
      </c>
      <c r="D40" s="71">
        <v>120</v>
      </c>
      <c r="E40" s="71">
        <v>175</v>
      </c>
      <c r="F40" s="70"/>
      <c r="G40" s="140"/>
      <c r="H40" s="140"/>
      <c r="I40" s="149"/>
      <c r="J40" s="140"/>
      <c r="K40" s="140"/>
      <c r="L40" s="140"/>
      <c r="M40" s="140"/>
      <c r="N40" s="140"/>
      <c r="O40" s="140"/>
    </row>
    <row r="41" spans="2:15">
      <c r="B41" s="70" t="s">
        <v>169</v>
      </c>
      <c r="C41" s="70" t="s">
        <v>139</v>
      </c>
      <c r="D41" s="71">
        <v>150</v>
      </c>
      <c r="E41" s="71">
        <v>220</v>
      </c>
      <c r="F41" s="70"/>
      <c r="G41" s="140"/>
      <c r="H41" s="140"/>
      <c r="I41" s="149"/>
      <c r="J41" s="140"/>
      <c r="K41" s="140"/>
      <c r="L41" s="140"/>
      <c r="M41" s="140"/>
      <c r="N41" s="140"/>
      <c r="O41" s="140"/>
    </row>
    <row r="42" spans="2:15">
      <c r="B42" s="70" t="s">
        <v>170</v>
      </c>
      <c r="C42" s="70" t="s">
        <v>139</v>
      </c>
      <c r="D42" s="71">
        <v>180</v>
      </c>
      <c r="E42" s="71">
        <v>260</v>
      </c>
      <c r="F42" s="70"/>
      <c r="G42" s="140"/>
      <c r="H42" s="140"/>
      <c r="I42" s="149"/>
      <c r="J42" s="140"/>
      <c r="K42" s="140"/>
      <c r="L42" s="140"/>
      <c r="M42" s="140"/>
      <c r="N42" s="140"/>
      <c r="O42" s="140"/>
    </row>
    <row r="43" spans="2:15">
      <c r="B43" s="70"/>
      <c r="C43" s="70"/>
      <c r="D43" s="71"/>
      <c r="E43" s="71"/>
      <c r="F43" s="70"/>
      <c r="G43" s="140"/>
      <c r="H43" s="140"/>
      <c r="I43" s="149"/>
      <c r="J43" s="140"/>
      <c r="K43" s="140"/>
      <c r="L43" s="140"/>
      <c r="M43" s="140"/>
      <c r="N43" s="140"/>
      <c r="O43" s="140"/>
    </row>
    <row r="44" ht="15.75" spans="2:15">
      <c r="B44" s="146" t="s">
        <v>171</v>
      </c>
      <c r="C44" s="70"/>
      <c r="D44" s="71"/>
      <c r="E44" s="71"/>
      <c r="F44" s="70"/>
      <c r="G44" s="140"/>
      <c r="H44" s="140"/>
      <c r="I44" s="149"/>
      <c r="J44" s="140"/>
      <c r="K44" s="140"/>
      <c r="L44" s="140"/>
      <c r="M44" s="140"/>
      <c r="N44" s="140"/>
      <c r="O44" s="140"/>
    </row>
    <row r="45" ht="15.75" spans="2:15">
      <c r="B45" s="146"/>
      <c r="C45" s="70"/>
      <c r="D45" s="71"/>
      <c r="E45" s="71"/>
      <c r="F45" s="70"/>
      <c r="G45" s="140"/>
      <c r="H45" s="140"/>
      <c r="I45" s="149"/>
      <c r="J45" s="140"/>
      <c r="K45" s="140"/>
      <c r="L45" s="140"/>
      <c r="M45" s="140"/>
      <c r="N45" s="140"/>
      <c r="O45" s="140"/>
    </row>
    <row r="46" spans="2:15">
      <c r="B46" s="70" t="s">
        <v>172</v>
      </c>
      <c r="C46" s="70" t="s">
        <v>139</v>
      </c>
      <c r="D46" s="71">
        <v>100</v>
      </c>
      <c r="E46" s="71">
        <v>140</v>
      </c>
      <c r="F46" s="70"/>
      <c r="G46" s="140"/>
      <c r="H46" s="140"/>
      <c r="I46" s="149"/>
      <c r="J46" s="140"/>
      <c r="K46" s="140"/>
      <c r="L46" s="140"/>
      <c r="M46" s="140"/>
      <c r="N46" s="140"/>
      <c r="O46" s="140"/>
    </row>
    <row r="47" spans="2:15">
      <c r="B47" s="70" t="s">
        <v>173</v>
      </c>
      <c r="C47" s="70" t="s">
        <v>139</v>
      </c>
      <c r="D47" s="71">
        <v>140</v>
      </c>
      <c r="E47" s="71">
        <v>195</v>
      </c>
      <c r="F47" s="70"/>
      <c r="G47" s="140"/>
      <c r="H47" s="140"/>
      <c r="I47" s="149"/>
      <c r="J47" s="140"/>
      <c r="K47" s="140"/>
      <c r="L47" s="140"/>
      <c r="M47" s="140"/>
      <c r="N47" s="140"/>
      <c r="O47" s="140"/>
    </row>
    <row r="48" spans="2:15">
      <c r="B48" s="70" t="s">
        <v>174</v>
      </c>
      <c r="C48" s="70" t="s">
        <v>139</v>
      </c>
      <c r="D48" s="71">
        <v>75</v>
      </c>
      <c r="E48" s="71">
        <v>110</v>
      </c>
      <c r="F48" s="70"/>
      <c r="G48" s="140"/>
      <c r="H48" s="140"/>
      <c r="I48" s="149"/>
      <c r="J48" s="140"/>
      <c r="K48" s="140"/>
      <c r="L48" s="140"/>
      <c r="M48" s="140"/>
      <c r="N48" s="140"/>
      <c r="O48" s="140"/>
    </row>
    <row r="49" ht="17" customHeight="1" spans="2:15">
      <c r="B49" s="70" t="s">
        <v>175</v>
      </c>
      <c r="C49" s="70" t="s">
        <v>139</v>
      </c>
      <c r="D49" s="71">
        <v>40</v>
      </c>
      <c r="E49" s="71">
        <v>55</v>
      </c>
      <c r="F49" s="70"/>
      <c r="G49" s="140"/>
      <c r="H49" s="140"/>
      <c r="I49" s="149"/>
      <c r="J49" s="140"/>
      <c r="K49" s="140"/>
      <c r="L49" s="154"/>
      <c r="M49" s="140"/>
      <c r="N49" s="140"/>
      <c r="O49" s="140"/>
    </row>
    <row r="50" customHeight="1" spans="2:15">
      <c r="B50" s="70" t="s">
        <v>176</v>
      </c>
      <c r="C50" s="70" t="s">
        <v>139</v>
      </c>
      <c r="D50" s="71">
        <v>45</v>
      </c>
      <c r="E50" s="71">
        <v>65</v>
      </c>
      <c r="F50" s="70"/>
      <c r="G50" s="140"/>
      <c r="H50" s="140"/>
      <c r="I50" s="149"/>
      <c r="J50" s="140"/>
      <c r="K50" s="140"/>
      <c r="L50" s="154"/>
      <c r="M50" s="140"/>
      <c r="N50" s="140"/>
      <c r="O50" s="140"/>
    </row>
    <row r="51" ht="20.25" spans="2:15">
      <c r="B51" s="70"/>
      <c r="C51" s="70"/>
      <c r="D51" s="71"/>
      <c r="E51" s="71"/>
      <c r="F51" s="70"/>
      <c r="G51" s="140"/>
      <c r="H51" s="140"/>
      <c r="I51" s="149"/>
      <c r="J51" s="140"/>
      <c r="K51" s="140"/>
      <c r="L51" s="154"/>
      <c r="M51" s="140"/>
      <c r="N51" s="140"/>
      <c r="O51" s="140"/>
    </row>
    <row r="52" ht="20.25" spans="2:15">
      <c r="B52" s="155" t="s">
        <v>177</v>
      </c>
      <c r="C52" s="70"/>
      <c r="D52" s="71"/>
      <c r="E52" s="71"/>
      <c r="F52" s="70"/>
      <c r="G52" s="140"/>
      <c r="H52" s="140"/>
      <c r="I52" s="149"/>
      <c r="J52" s="140"/>
      <c r="K52" s="140"/>
      <c r="L52" s="154"/>
      <c r="M52" s="140"/>
      <c r="N52" s="140"/>
      <c r="O52" s="140"/>
    </row>
    <row r="53" ht="20.25" spans="2:15">
      <c r="B53" s="70" t="s">
        <v>178</v>
      </c>
      <c r="C53" s="70" t="s">
        <v>139</v>
      </c>
      <c r="D53" s="71">
        <v>50</v>
      </c>
      <c r="E53" s="71">
        <v>50</v>
      </c>
      <c r="F53" s="70"/>
      <c r="G53" s="140"/>
      <c r="H53" s="140"/>
      <c r="I53" s="149"/>
      <c r="J53" s="140"/>
      <c r="K53" s="140"/>
      <c r="L53" s="154"/>
      <c r="M53" s="140"/>
      <c r="N53" s="140"/>
      <c r="O53" s="140"/>
    </row>
    <row r="54" ht="20.25" spans="2:15">
      <c r="B54" s="70" t="s">
        <v>179</v>
      </c>
      <c r="C54" s="70" t="s">
        <v>139</v>
      </c>
      <c r="D54" s="71">
        <v>150</v>
      </c>
      <c r="E54" s="71" t="s">
        <v>180</v>
      </c>
      <c r="F54" s="70"/>
      <c r="G54" s="140"/>
      <c r="H54" s="140"/>
      <c r="I54" s="149"/>
      <c r="J54" s="140"/>
      <c r="K54" s="140"/>
      <c r="L54" s="154"/>
      <c r="M54" s="140"/>
      <c r="N54" s="140"/>
      <c r="O54" s="140"/>
    </row>
    <row r="55" ht="20.25" spans="2:15">
      <c r="B55" s="70"/>
      <c r="C55" s="70"/>
      <c r="D55" s="71"/>
      <c r="E55" s="71"/>
      <c r="F55" s="70"/>
      <c r="G55" s="140"/>
      <c r="H55" s="140"/>
      <c r="I55" s="149"/>
      <c r="J55" s="140"/>
      <c r="K55" s="140"/>
      <c r="L55" s="154"/>
      <c r="M55" s="140"/>
      <c r="N55" s="140"/>
      <c r="O55" s="140"/>
    </row>
    <row r="56" ht="20.25" spans="2:15">
      <c r="B56" s="70"/>
      <c r="C56" s="70"/>
      <c r="D56" s="71"/>
      <c r="E56" s="71"/>
      <c r="F56" s="70"/>
      <c r="G56" s="140"/>
      <c r="H56" s="140"/>
      <c r="I56" s="149"/>
      <c r="J56" s="140"/>
      <c r="K56" s="140"/>
      <c r="L56" s="154"/>
      <c r="M56" s="140"/>
      <c r="N56" s="140"/>
      <c r="O56" s="140"/>
    </row>
    <row r="57" ht="20.25" spans="2:15">
      <c r="B57" s="70"/>
      <c r="C57" s="70"/>
      <c r="D57" s="71"/>
      <c r="E57" s="71"/>
      <c r="F57" s="70"/>
      <c r="G57" s="140"/>
      <c r="H57" s="140"/>
      <c r="I57" s="149"/>
      <c r="J57" s="140"/>
      <c r="K57" s="140"/>
      <c r="L57" s="154"/>
      <c r="M57" s="140"/>
      <c r="N57" s="140"/>
      <c r="O57" s="140"/>
    </row>
    <row r="58" ht="20.25" spans="2:15">
      <c r="B58" s="70"/>
      <c r="C58" s="70"/>
      <c r="D58" s="71"/>
      <c r="E58" s="71"/>
      <c r="F58" s="70"/>
      <c r="G58" s="140"/>
      <c r="H58" s="140"/>
      <c r="I58" s="149"/>
      <c r="J58" s="140"/>
      <c r="K58" s="140"/>
      <c r="L58" s="154"/>
      <c r="M58" s="140"/>
      <c r="N58" s="140"/>
      <c r="O58" s="140"/>
    </row>
    <row r="59" ht="20.25" spans="2:15">
      <c r="B59" s="155"/>
      <c r="C59" s="70"/>
      <c r="D59" s="71"/>
      <c r="E59" s="71"/>
      <c r="F59" s="70"/>
      <c r="G59" s="140"/>
      <c r="H59" s="140"/>
      <c r="I59" s="149"/>
      <c r="J59" s="140"/>
      <c r="K59" s="140"/>
      <c r="L59" s="154"/>
      <c r="M59" s="140"/>
      <c r="N59" s="140"/>
      <c r="O59" s="140"/>
    </row>
    <row r="60" ht="20.25" spans="2:15">
      <c r="B60" s="140"/>
      <c r="C60" s="140"/>
      <c r="D60" s="140"/>
      <c r="E60" s="140"/>
      <c r="F60" s="140"/>
      <c r="G60" s="140"/>
      <c r="H60" s="140"/>
      <c r="I60" s="140"/>
      <c r="J60" s="140"/>
      <c r="K60" s="140"/>
      <c r="L60" s="154"/>
      <c r="M60" s="140"/>
      <c r="N60" s="140"/>
      <c r="O60" s="140"/>
    </row>
    <row r="61" spans="2:15">
      <c r="B61" s="140"/>
      <c r="C61" s="140"/>
      <c r="D61" s="140"/>
      <c r="E61" s="140"/>
      <c r="F61" s="140"/>
      <c r="G61" s="140"/>
      <c r="H61" s="140"/>
      <c r="I61" s="140"/>
      <c r="J61" s="140"/>
      <c r="K61" s="140"/>
      <c r="L61" s="156"/>
      <c r="M61" s="140"/>
      <c r="N61" s="140"/>
      <c r="O61" s="140"/>
    </row>
    <row r="62" spans="2:15">
      <c r="B62" s="140"/>
      <c r="C62" s="140"/>
      <c r="D62" s="140"/>
      <c r="E62" s="140"/>
      <c r="F62" s="140"/>
      <c r="G62" s="140"/>
      <c r="H62" s="140"/>
      <c r="I62" s="140"/>
      <c r="J62" s="140"/>
      <c r="K62" s="140"/>
      <c r="L62" s="140"/>
      <c r="M62" s="140"/>
      <c r="N62" s="140"/>
      <c r="O62" s="140"/>
    </row>
    <row r="63" spans="2:15">
      <c r="B63" s="140"/>
      <c r="C63" s="140"/>
      <c r="D63" s="140"/>
      <c r="E63" s="140"/>
      <c r="F63" s="140"/>
      <c r="G63" s="140"/>
      <c r="H63" s="140"/>
      <c r="I63" s="140"/>
      <c r="J63" s="140"/>
      <c r="K63" s="140"/>
      <c r="L63" s="140"/>
      <c r="M63" s="140"/>
      <c r="N63" s="140"/>
      <c r="O63" s="140"/>
    </row>
    <row r="64" spans="2:15">
      <c r="B64" s="140"/>
      <c r="C64" s="140"/>
      <c r="D64" s="140"/>
      <c r="E64" s="140"/>
      <c r="F64" s="140"/>
      <c r="G64" s="140"/>
      <c r="H64" s="140"/>
      <c r="I64" s="140"/>
      <c r="J64" s="140"/>
      <c r="K64" s="140"/>
      <c r="L64" s="140"/>
      <c r="M64" s="140"/>
      <c r="N64" s="140"/>
      <c r="O64" s="140"/>
    </row>
    <row r="65" spans="2:15">
      <c r="B65" s="140"/>
      <c r="C65" s="140"/>
      <c r="D65" s="140"/>
      <c r="E65" s="140"/>
      <c r="F65" s="140"/>
      <c r="G65" s="140"/>
      <c r="H65" s="140"/>
      <c r="I65" s="140"/>
      <c r="J65" s="140"/>
      <c r="K65" s="140"/>
      <c r="L65" s="140"/>
      <c r="M65" s="140"/>
      <c r="N65" s="140"/>
      <c r="O65" s="140"/>
    </row>
    <row r="66" spans="2:15">
      <c r="B66" s="140"/>
      <c r="C66" s="140"/>
      <c r="D66" s="140"/>
      <c r="E66" s="140"/>
      <c r="F66" s="140"/>
      <c r="G66" s="140"/>
      <c r="H66" s="140"/>
      <c r="I66" s="140"/>
      <c r="J66" s="140"/>
      <c r="K66" s="140"/>
      <c r="L66" s="140"/>
      <c r="M66" s="140"/>
      <c r="N66" s="140"/>
      <c r="O66" s="140"/>
    </row>
    <row r="67" spans="2:15">
      <c r="B67" s="140"/>
      <c r="C67" s="140"/>
      <c r="D67" s="140"/>
      <c r="E67" s="140"/>
      <c r="F67" s="140"/>
      <c r="G67" s="140"/>
      <c r="H67" s="140"/>
      <c r="I67" s="140"/>
      <c r="J67" s="140"/>
      <c r="K67" s="140"/>
      <c r="L67" s="140"/>
      <c r="M67" s="140"/>
      <c r="N67" s="140"/>
      <c r="O67" s="140"/>
    </row>
    <row r="68" spans="2:15">
      <c r="B68" s="140"/>
      <c r="C68" s="140"/>
      <c r="D68" s="140"/>
      <c r="E68" s="140"/>
      <c r="F68" s="140"/>
      <c r="G68" s="140"/>
      <c r="H68" s="140"/>
      <c r="I68" s="140"/>
      <c r="J68" s="140"/>
      <c r="K68" s="140"/>
      <c r="L68" s="140"/>
      <c r="M68" s="140"/>
      <c r="N68" s="140"/>
      <c r="O68" s="140"/>
    </row>
    <row r="69" spans="2:15">
      <c r="B69" s="140"/>
      <c r="C69" s="140"/>
      <c r="D69" s="140"/>
      <c r="E69" s="140"/>
      <c r="F69" s="140"/>
      <c r="G69" s="140"/>
      <c r="H69" s="140"/>
      <c r="I69" s="140"/>
      <c r="J69" s="140"/>
      <c r="K69" s="140"/>
      <c r="L69" s="140"/>
      <c r="M69" s="140"/>
      <c r="N69" s="140"/>
      <c r="O69" s="140"/>
    </row>
    <row r="70" spans="2:15">
      <c r="B70" s="140"/>
      <c r="C70" s="140"/>
      <c r="D70" s="140"/>
      <c r="E70" s="140"/>
      <c r="F70" s="140"/>
      <c r="G70" s="140"/>
      <c r="H70" s="140"/>
      <c r="I70" s="140"/>
      <c r="J70" s="140"/>
      <c r="K70" s="140"/>
      <c r="L70" s="140"/>
      <c r="M70" s="140"/>
      <c r="N70" s="140"/>
      <c r="O70" s="140"/>
    </row>
    <row r="71" spans="2:15">
      <c r="B71" s="140"/>
      <c r="C71" s="140"/>
      <c r="D71" s="140"/>
      <c r="E71" s="140"/>
      <c r="F71" s="140"/>
      <c r="G71" s="140"/>
      <c r="H71" s="140"/>
      <c r="I71" s="140"/>
      <c r="J71" s="140"/>
      <c r="K71" s="140"/>
      <c r="L71" s="140"/>
      <c r="M71" s="140"/>
      <c r="N71" s="140"/>
      <c r="O71" s="140"/>
    </row>
    <row r="72" spans="2:15">
      <c r="B72" s="140"/>
      <c r="C72" s="140"/>
      <c r="D72" s="140"/>
      <c r="E72" s="140"/>
      <c r="F72" s="140"/>
      <c r="G72" s="140"/>
      <c r="H72" s="140"/>
      <c r="I72" s="140"/>
      <c r="J72" s="140"/>
      <c r="K72" s="140"/>
      <c r="L72" s="140"/>
      <c r="M72" s="140"/>
      <c r="N72" s="140"/>
      <c r="O72" s="140"/>
    </row>
    <row r="73" spans="2:15">
      <c r="B73" s="140"/>
      <c r="C73" s="140"/>
      <c r="D73" s="140"/>
      <c r="E73" s="140"/>
      <c r="F73" s="140"/>
      <c r="G73" s="140"/>
      <c r="H73" s="140"/>
      <c r="I73" s="140"/>
      <c r="J73" s="140"/>
      <c r="K73" s="140"/>
      <c r="L73" s="140"/>
      <c r="M73" s="140"/>
      <c r="N73" s="140"/>
      <c r="O73" s="140"/>
    </row>
    <row r="74" spans="2:15">
      <c r="B74" s="140"/>
      <c r="C74" s="140"/>
      <c r="D74" s="140"/>
      <c r="E74" s="140"/>
      <c r="F74" s="140"/>
      <c r="G74" s="140"/>
      <c r="H74" s="140"/>
      <c r="I74" s="140"/>
      <c r="J74" s="140"/>
      <c r="K74" s="140"/>
      <c r="L74" s="140"/>
      <c r="M74" s="140"/>
      <c r="N74" s="140"/>
      <c r="O74" s="140"/>
    </row>
    <row r="75" spans="2:15">
      <c r="B75" s="140"/>
      <c r="C75" s="140"/>
      <c r="D75" s="140"/>
      <c r="E75" s="140"/>
      <c r="F75" s="140"/>
      <c r="G75" s="140"/>
      <c r="H75" s="140"/>
      <c r="I75" s="140"/>
      <c r="J75" s="140"/>
      <c r="K75" s="140"/>
      <c r="L75" s="140"/>
      <c r="M75" s="140"/>
      <c r="N75" s="140"/>
      <c r="O75" s="140"/>
    </row>
    <row r="76" spans="2:15">
      <c r="B76" s="140"/>
      <c r="C76" s="140"/>
      <c r="D76" s="140"/>
      <c r="E76" s="140"/>
      <c r="F76" s="140"/>
      <c r="G76" s="140"/>
      <c r="H76" s="140"/>
      <c r="I76" s="140"/>
      <c r="J76" s="140"/>
      <c r="K76" s="140"/>
      <c r="L76" s="140"/>
      <c r="M76" s="140"/>
      <c r="N76" s="140"/>
      <c r="O76" s="140"/>
    </row>
    <row r="77" spans="2:15">
      <c r="B77" s="140"/>
      <c r="C77" s="140"/>
      <c r="D77" s="140"/>
      <c r="E77" s="140"/>
      <c r="F77" s="140"/>
      <c r="G77" s="140"/>
      <c r="H77" s="140"/>
      <c r="I77" s="140"/>
      <c r="J77" s="140"/>
      <c r="K77" s="140"/>
      <c r="L77" s="140"/>
      <c r="M77" s="140"/>
      <c r="N77" s="140"/>
      <c r="O77" s="140"/>
    </row>
    <row r="78" spans="2:15">
      <c r="B78" s="140"/>
      <c r="C78" s="140"/>
      <c r="D78" s="140"/>
      <c r="E78" s="140"/>
      <c r="F78" s="140"/>
      <c r="G78" s="140"/>
      <c r="H78" s="140"/>
      <c r="I78" s="140"/>
      <c r="J78" s="140"/>
      <c r="K78" s="140"/>
      <c r="L78" s="140"/>
      <c r="M78" s="140"/>
      <c r="N78" s="140"/>
      <c r="O78" s="140"/>
    </row>
    <row r="79" spans="2:15">
      <c r="B79" s="140"/>
      <c r="C79" s="140"/>
      <c r="D79" s="140"/>
      <c r="E79" s="140"/>
      <c r="F79" s="140"/>
      <c r="G79" s="140"/>
      <c r="H79" s="140"/>
      <c r="I79" s="140"/>
      <c r="J79" s="140"/>
      <c r="K79" s="140"/>
      <c r="L79" s="140"/>
      <c r="M79" s="140"/>
      <c r="N79" s="140"/>
      <c r="O79" s="140"/>
    </row>
    <row r="80" spans="2:15">
      <c r="B80" s="140"/>
      <c r="C80" s="140"/>
      <c r="D80" s="140"/>
      <c r="E80" s="140"/>
      <c r="F80" s="140"/>
      <c r="G80" s="140"/>
      <c r="H80" s="140"/>
      <c r="I80" s="140"/>
      <c r="J80" s="140"/>
      <c r="K80" s="140"/>
      <c r="L80" s="140"/>
      <c r="M80" s="140"/>
      <c r="N80" s="140"/>
      <c r="O80" s="140"/>
    </row>
    <row r="81" spans="2:15">
      <c r="B81" s="140"/>
      <c r="C81" s="140"/>
      <c r="D81" s="140"/>
      <c r="E81" s="140"/>
      <c r="F81" s="140"/>
      <c r="G81" s="140"/>
      <c r="H81" s="140"/>
      <c r="I81" s="140"/>
      <c r="J81" s="140"/>
      <c r="K81" s="140"/>
      <c r="L81" s="140"/>
      <c r="M81" s="140"/>
      <c r="N81" s="140"/>
      <c r="O81" s="140"/>
    </row>
    <row r="82" spans="2:15">
      <c r="B82" s="140"/>
      <c r="C82" s="140"/>
      <c r="D82" s="140"/>
      <c r="E82" s="140"/>
      <c r="F82" s="140"/>
      <c r="G82" s="140"/>
      <c r="H82" s="140"/>
      <c r="I82" s="140"/>
      <c r="J82" s="140"/>
      <c r="K82" s="140"/>
      <c r="L82" s="140"/>
      <c r="M82" s="140"/>
      <c r="N82" s="140"/>
      <c r="O82" s="140"/>
    </row>
    <row r="83" spans="2:15">
      <c r="B83" s="140"/>
      <c r="C83" s="140"/>
      <c r="D83" s="140"/>
      <c r="E83" s="140"/>
      <c r="F83" s="140"/>
      <c r="G83" s="140"/>
      <c r="H83" s="140"/>
      <c r="I83" s="140"/>
      <c r="J83" s="140"/>
      <c r="K83" s="140"/>
      <c r="L83" s="140"/>
      <c r="M83" s="140"/>
      <c r="N83" s="140"/>
      <c r="O83" s="140"/>
    </row>
    <row r="84" spans="2:15">
      <c r="B84" s="140"/>
      <c r="C84" s="140"/>
      <c r="D84" s="140"/>
      <c r="E84" s="140"/>
      <c r="F84" s="140"/>
      <c r="G84" s="140"/>
      <c r="H84" s="140"/>
      <c r="I84" s="140"/>
      <c r="J84" s="140"/>
      <c r="K84" s="140"/>
      <c r="L84" s="140"/>
      <c r="M84" s="140"/>
      <c r="N84" s="140"/>
      <c r="O84" s="140"/>
    </row>
    <row r="85" spans="2:15">
      <c r="B85" s="140"/>
      <c r="C85" s="140"/>
      <c r="D85" s="140"/>
      <c r="E85" s="140"/>
      <c r="F85" s="140"/>
      <c r="G85" s="140"/>
      <c r="H85" s="140"/>
      <c r="I85" s="140"/>
      <c r="J85" s="140"/>
      <c r="K85" s="140"/>
      <c r="L85" s="140"/>
      <c r="M85" s="140"/>
      <c r="N85" s="140"/>
      <c r="O85" s="140"/>
    </row>
    <row r="86" spans="2:15">
      <c r="B86" s="140"/>
      <c r="C86" s="140"/>
      <c r="D86" s="140"/>
      <c r="E86" s="140"/>
      <c r="F86" s="140"/>
      <c r="G86" s="140"/>
      <c r="H86" s="140"/>
      <c r="I86" s="140"/>
      <c r="J86" s="140"/>
      <c r="K86" s="140"/>
      <c r="L86" s="140"/>
      <c r="M86" s="140"/>
      <c r="N86" s="140"/>
      <c r="O86" s="140"/>
    </row>
    <row r="87" spans="2:15">
      <c r="B87" s="140"/>
      <c r="C87" s="140"/>
      <c r="D87" s="140"/>
      <c r="E87" s="140"/>
      <c r="F87" s="140"/>
      <c r="G87" s="140"/>
      <c r="H87" s="140"/>
      <c r="I87" s="140"/>
      <c r="J87" s="140"/>
      <c r="K87" s="140"/>
      <c r="L87" s="140"/>
      <c r="M87" s="140"/>
      <c r="N87" s="140"/>
      <c r="O87" s="140"/>
    </row>
    <row r="88" spans="2:15">
      <c r="B88" s="140"/>
      <c r="C88" s="140"/>
      <c r="D88" s="140"/>
      <c r="E88" s="140"/>
      <c r="F88" s="140"/>
      <c r="G88" s="140"/>
      <c r="H88" s="140"/>
      <c r="I88" s="140"/>
      <c r="J88" s="140"/>
      <c r="K88" s="140"/>
      <c r="L88" s="140"/>
      <c r="M88" s="140"/>
      <c r="N88" s="140"/>
      <c r="O88" s="140"/>
    </row>
    <row r="89" spans="2:15">
      <c r="B89" s="140"/>
      <c r="C89" s="140"/>
      <c r="D89" s="140"/>
      <c r="E89" s="140"/>
      <c r="F89" s="140"/>
      <c r="G89" s="140"/>
      <c r="H89" s="140"/>
      <c r="I89" s="140"/>
      <c r="J89" s="140"/>
      <c r="K89" s="140"/>
      <c r="L89" s="140"/>
      <c r="M89" s="140"/>
      <c r="N89" s="140"/>
      <c r="O89" s="140"/>
    </row>
    <row r="90" spans="2:15">
      <c r="B90" s="140"/>
      <c r="C90" s="140"/>
      <c r="D90" s="140"/>
      <c r="E90" s="140"/>
      <c r="F90" s="140"/>
      <c r="G90" s="140"/>
      <c r="H90" s="140"/>
      <c r="I90" s="140"/>
      <c r="J90" s="140"/>
      <c r="K90" s="140"/>
      <c r="L90" s="140"/>
      <c r="M90" s="140"/>
      <c r="N90" s="140"/>
      <c r="O90" s="140"/>
    </row>
    <row r="91" spans="2:15">
      <c r="B91" s="140"/>
      <c r="C91" s="140"/>
      <c r="D91" s="140"/>
      <c r="E91" s="140"/>
      <c r="F91" s="140"/>
      <c r="G91" s="140"/>
      <c r="H91" s="140"/>
      <c r="I91" s="140"/>
      <c r="J91" s="140"/>
      <c r="K91" s="140"/>
      <c r="L91" s="140"/>
      <c r="M91" s="140"/>
      <c r="N91" s="140"/>
      <c r="O91" s="140"/>
    </row>
    <row r="92" spans="2:15">
      <c r="B92" s="140"/>
      <c r="C92" s="140"/>
      <c r="D92" s="140"/>
      <c r="E92" s="140"/>
      <c r="F92" s="140"/>
      <c r="G92" s="140"/>
      <c r="H92" s="140"/>
      <c r="I92" s="140"/>
      <c r="J92" s="140"/>
      <c r="K92" s="140"/>
      <c r="L92" s="140"/>
      <c r="M92" s="140"/>
      <c r="N92" s="140"/>
      <c r="O92" s="140"/>
    </row>
    <row r="93" spans="2:15">
      <c r="B93" s="140"/>
      <c r="C93" s="140"/>
      <c r="D93" s="140"/>
      <c r="E93" s="140"/>
      <c r="F93" s="140"/>
      <c r="G93" s="140"/>
      <c r="H93" s="140"/>
      <c r="I93" s="140"/>
      <c r="J93" s="140"/>
      <c r="K93" s="140"/>
      <c r="L93" s="140"/>
      <c r="M93" s="140"/>
      <c r="N93" s="140"/>
      <c r="O93" s="140"/>
    </row>
    <row r="94" spans="2:15">
      <c r="B94" s="140"/>
      <c r="C94" s="140"/>
      <c r="D94" s="140"/>
      <c r="E94" s="140"/>
      <c r="F94" s="140"/>
      <c r="G94" s="140"/>
      <c r="H94" s="140"/>
      <c r="I94" s="140"/>
      <c r="J94" s="140"/>
      <c r="K94" s="140"/>
      <c r="L94" s="140"/>
      <c r="M94" s="140"/>
      <c r="N94" s="140"/>
      <c r="O94" s="140"/>
    </row>
    <row r="95" spans="2:15">
      <c r="B95" s="140"/>
      <c r="C95" s="140"/>
      <c r="D95" s="140"/>
      <c r="E95" s="140"/>
      <c r="F95" s="140"/>
      <c r="G95" s="140"/>
      <c r="H95" s="140"/>
      <c r="I95" s="140"/>
      <c r="J95" s="140"/>
      <c r="K95" s="140"/>
      <c r="L95" s="140"/>
      <c r="M95" s="140"/>
      <c r="N95" s="140"/>
      <c r="O95" s="140"/>
    </row>
    <row r="96" spans="2:15">
      <c r="B96" s="140"/>
      <c r="C96" s="140"/>
      <c r="D96" s="140"/>
      <c r="E96" s="140"/>
      <c r="F96" s="140"/>
      <c r="G96" s="140"/>
      <c r="H96" s="140"/>
      <c r="I96" s="140"/>
      <c r="J96" s="140"/>
      <c r="K96" s="140"/>
      <c r="L96" s="140"/>
      <c r="M96" s="140"/>
      <c r="N96" s="140"/>
      <c r="O96" s="140"/>
    </row>
    <row r="97" spans="2:15">
      <c r="B97" s="140"/>
      <c r="C97" s="140"/>
      <c r="D97" s="140"/>
      <c r="E97" s="140"/>
      <c r="F97" s="140"/>
      <c r="G97" s="140"/>
      <c r="H97" s="140"/>
      <c r="I97" s="140"/>
      <c r="J97" s="140"/>
      <c r="K97" s="140"/>
      <c r="L97" s="140"/>
      <c r="M97" s="140"/>
      <c r="N97" s="140"/>
      <c r="O97" s="140"/>
    </row>
    <row r="98" spans="2:15">
      <c r="B98" s="140"/>
      <c r="C98" s="140"/>
      <c r="D98" s="140"/>
      <c r="E98" s="140"/>
      <c r="F98" s="140"/>
      <c r="G98" s="140"/>
      <c r="H98" s="140"/>
      <c r="I98" s="140"/>
      <c r="J98" s="140"/>
      <c r="K98" s="140"/>
      <c r="L98" s="140"/>
      <c r="M98" s="140"/>
      <c r="N98" s="140"/>
      <c r="O98" s="140"/>
    </row>
    <row r="99" spans="2:15">
      <c r="B99" s="140"/>
      <c r="C99" s="140"/>
      <c r="D99" s="140"/>
      <c r="E99" s="140"/>
      <c r="F99" s="140"/>
      <c r="G99" s="140"/>
      <c r="H99" s="140"/>
      <c r="I99" s="140"/>
      <c r="J99" s="140"/>
      <c r="K99" s="140"/>
      <c r="L99" s="140"/>
      <c r="M99" s="140"/>
      <c r="N99" s="140"/>
      <c r="O99" s="140"/>
    </row>
    <row r="100" spans="2:15">
      <c r="B100" s="140"/>
      <c r="C100" s="140"/>
      <c r="D100" s="140"/>
      <c r="E100" s="140"/>
      <c r="F100" s="140"/>
      <c r="G100" s="140"/>
      <c r="H100" s="140"/>
      <c r="I100" s="140"/>
      <c r="J100" s="140"/>
      <c r="K100" s="140"/>
      <c r="L100" s="140"/>
      <c r="M100" s="140"/>
      <c r="N100" s="140"/>
      <c r="O100" s="140"/>
    </row>
    <row r="101" spans="2:15">
      <c r="B101" s="140"/>
      <c r="C101" s="140"/>
      <c r="D101" s="140"/>
      <c r="E101" s="140"/>
      <c r="F101" s="140"/>
      <c r="G101" s="140"/>
      <c r="H101" s="140"/>
      <c r="I101" s="140"/>
      <c r="J101" s="140"/>
      <c r="K101" s="140"/>
      <c r="L101" s="140"/>
      <c r="M101" s="140"/>
      <c r="N101" s="140"/>
      <c r="O101" s="140"/>
    </row>
    <row r="102" spans="2:15">
      <c r="B102" s="140"/>
      <c r="C102" s="140"/>
      <c r="D102" s="140"/>
      <c r="E102" s="140"/>
      <c r="F102" s="140"/>
      <c r="G102" s="140"/>
      <c r="H102" s="140"/>
      <c r="I102" s="140"/>
      <c r="J102" s="140"/>
      <c r="K102" s="140"/>
      <c r="L102" s="140"/>
      <c r="M102" s="140"/>
      <c r="N102" s="140"/>
      <c r="O102" s="140"/>
    </row>
  </sheetData>
  <mergeCells count="3">
    <mergeCell ref="B1:F1"/>
    <mergeCell ref="D2:E2"/>
    <mergeCell ref="F2:F3"/>
  </mergeCells>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3"/>
  <sheetViews>
    <sheetView topLeftCell="D1" workbookViewId="0">
      <selection activeCell="Q16" sqref="Q16"/>
    </sheetView>
  </sheetViews>
  <sheetFormatPr defaultColWidth="9.14285714285714" defaultRowHeight="15"/>
  <cols>
    <col min="4" max="4" width="33.5714285714286" customWidth="1"/>
    <col min="5" max="5" width="13.5714285714286" customWidth="1"/>
    <col min="7" max="7" width="12.2857142857143" customWidth="1"/>
    <col min="8" max="8" width="11.7142857142857" customWidth="1"/>
    <col min="12" max="12" width="12" customWidth="1"/>
    <col min="14" max="14" width="11.8571428571429" customWidth="1"/>
    <col min="15" max="15" width="27.5714285714286" customWidth="1"/>
  </cols>
  <sheetData>
    <row r="1" ht="18" spans="1:15">
      <c r="A1" s="72"/>
      <c r="B1" s="73"/>
      <c r="C1" s="74" t="s">
        <v>0</v>
      </c>
      <c r="D1" s="72"/>
      <c r="E1" s="73"/>
      <c r="F1" s="73"/>
      <c r="G1" s="73"/>
      <c r="H1" s="73"/>
      <c r="I1" s="73"/>
      <c r="J1" s="75"/>
      <c r="K1" s="75"/>
      <c r="L1" s="76" t="s">
        <v>181</v>
      </c>
      <c r="M1" s="72"/>
      <c r="N1" s="72"/>
      <c r="O1" s="73"/>
    </row>
    <row r="2" ht="18" spans="1:15">
      <c r="A2" s="72"/>
      <c r="B2" s="73"/>
      <c r="C2" s="74" t="s">
        <v>182</v>
      </c>
      <c r="D2" s="72"/>
      <c r="E2" s="73"/>
      <c r="F2" s="73"/>
      <c r="G2" s="73"/>
      <c r="H2" s="73"/>
      <c r="I2" s="73"/>
      <c r="J2" s="73"/>
      <c r="K2" s="73"/>
      <c r="L2" s="76" t="s">
        <v>183</v>
      </c>
      <c r="M2" s="72"/>
      <c r="N2" s="72"/>
      <c r="O2" s="73"/>
    </row>
    <row r="3" ht="18" spans="1:15">
      <c r="A3" s="72"/>
      <c r="B3" s="72"/>
      <c r="C3" s="72"/>
      <c r="D3" s="72"/>
      <c r="E3" s="73"/>
      <c r="F3" s="73"/>
      <c r="G3" s="73"/>
      <c r="H3" s="73"/>
      <c r="I3" s="73"/>
      <c r="J3" s="73"/>
      <c r="K3" s="77"/>
      <c r="L3" s="76" t="s">
        <v>184</v>
      </c>
      <c r="M3" s="72"/>
      <c r="N3" s="72"/>
      <c r="O3" s="73"/>
    </row>
    <row r="4" ht="18" spans="1:15">
      <c r="A4" s="72"/>
      <c r="B4" s="73"/>
      <c r="C4" s="77"/>
      <c r="D4" s="73"/>
      <c r="E4" s="73"/>
      <c r="F4" s="73"/>
      <c r="G4" s="73"/>
      <c r="H4" s="72"/>
      <c r="I4" s="72"/>
      <c r="J4" s="73"/>
      <c r="K4" s="77"/>
      <c r="L4" s="78"/>
      <c r="M4" s="79"/>
      <c r="N4" s="78"/>
      <c r="O4" s="80"/>
    </row>
    <row r="5" ht="18" spans="1:15">
      <c r="A5" s="81"/>
      <c r="B5" s="81"/>
      <c r="C5" s="81"/>
      <c r="D5" s="81"/>
      <c r="E5" s="73"/>
      <c r="F5" s="79"/>
      <c r="G5" s="78"/>
      <c r="H5" s="73"/>
      <c r="I5" s="80" t="s">
        <v>185</v>
      </c>
      <c r="J5" s="81"/>
      <c r="K5" s="81"/>
      <c r="L5" s="81"/>
      <c r="M5" s="81"/>
      <c r="N5" s="81"/>
      <c r="O5" s="81"/>
    </row>
    <row r="6" ht="18" spans="1:15">
      <c r="A6" s="81"/>
      <c r="B6" s="81"/>
      <c r="C6" s="81"/>
      <c r="D6" s="81"/>
      <c r="E6" s="81"/>
      <c r="F6" s="81"/>
      <c r="G6" s="81"/>
      <c r="H6" s="81"/>
      <c r="I6" s="81"/>
      <c r="J6" s="81"/>
      <c r="K6" s="81"/>
      <c r="L6" s="81"/>
      <c r="M6" s="81"/>
      <c r="N6" s="81"/>
      <c r="O6" s="81"/>
    </row>
    <row r="7" ht="38.25" spans="1:15">
      <c r="A7" s="82" t="s">
        <v>186</v>
      </c>
      <c r="B7" s="83" t="s">
        <v>187</v>
      </c>
      <c r="C7" s="84" t="s">
        <v>188</v>
      </c>
      <c r="D7" s="83" t="s">
        <v>189</v>
      </c>
      <c r="E7" s="84" t="s">
        <v>190</v>
      </c>
      <c r="F7" s="84" t="s">
        <v>191</v>
      </c>
      <c r="G7" s="84" t="s">
        <v>192</v>
      </c>
      <c r="H7" s="84" t="s">
        <v>193</v>
      </c>
      <c r="I7" s="84" t="s">
        <v>194</v>
      </c>
      <c r="J7" s="84" t="s">
        <v>195</v>
      </c>
      <c r="K7" s="84" t="s">
        <v>196</v>
      </c>
      <c r="L7" s="85" t="s">
        <v>197</v>
      </c>
      <c r="M7" s="86" t="s">
        <v>198</v>
      </c>
      <c r="N7" s="87" t="s">
        <v>199</v>
      </c>
      <c r="O7" s="88" t="s">
        <v>200</v>
      </c>
    </row>
    <row r="8" spans="1:15">
      <c r="A8" s="89" t="s">
        <v>201</v>
      </c>
      <c r="B8" s="90"/>
      <c r="C8" s="91"/>
      <c r="D8" s="92" t="s">
        <v>202</v>
      </c>
      <c r="E8" s="93"/>
      <c r="F8" s="93"/>
      <c r="G8" s="93"/>
      <c r="H8" s="93"/>
      <c r="I8" s="93"/>
      <c r="J8" s="93"/>
      <c r="K8" s="93"/>
      <c r="L8" s="94"/>
      <c r="M8" s="95"/>
      <c r="N8" s="94"/>
      <c r="O8" s="96"/>
    </row>
    <row r="9" spans="1:15">
      <c r="A9" s="97" t="s">
        <v>203</v>
      </c>
      <c r="B9" s="98" t="s">
        <v>204</v>
      </c>
      <c r="C9" s="98" t="s">
        <v>57</v>
      </c>
      <c r="D9" s="98" t="s">
        <v>205</v>
      </c>
      <c r="E9" s="99" t="s">
        <v>206</v>
      </c>
      <c r="F9" s="99"/>
      <c r="G9" s="99" t="s">
        <v>207</v>
      </c>
      <c r="H9" s="99" t="s">
        <v>208</v>
      </c>
      <c r="I9" s="99" t="s">
        <v>209</v>
      </c>
      <c r="J9" s="99">
        <v>12</v>
      </c>
      <c r="K9" s="99" t="s">
        <v>210</v>
      </c>
      <c r="L9" s="100">
        <v>41415</v>
      </c>
      <c r="M9" s="101" t="s">
        <v>211</v>
      </c>
      <c r="N9" s="100">
        <f t="shared" ref="N9:N20" si="0">L9+(J9*7*4.345)</f>
        <v>41779.98</v>
      </c>
      <c r="O9" s="102"/>
    </row>
    <row r="10" spans="1:15">
      <c r="A10" s="98" t="s">
        <v>212</v>
      </c>
      <c r="B10" s="98" t="s">
        <v>213</v>
      </c>
      <c r="C10" s="98" t="s">
        <v>63</v>
      </c>
      <c r="D10" s="98" t="s">
        <v>214</v>
      </c>
      <c r="E10" s="99"/>
      <c r="F10" s="99"/>
      <c r="G10" s="99"/>
      <c r="H10" s="99" t="s">
        <v>215</v>
      </c>
      <c r="I10" s="99" t="s">
        <v>209</v>
      </c>
      <c r="J10" s="99">
        <v>12</v>
      </c>
      <c r="K10" s="99" t="s">
        <v>210</v>
      </c>
      <c r="L10" s="100"/>
      <c r="M10" s="101"/>
      <c r="N10" s="100"/>
      <c r="O10" s="102"/>
    </row>
    <row r="11" spans="1:15">
      <c r="A11" s="98" t="s">
        <v>216</v>
      </c>
      <c r="B11" s="98" t="s">
        <v>217</v>
      </c>
      <c r="C11" s="98" t="s">
        <v>63</v>
      </c>
      <c r="D11" s="98" t="s">
        <v>214</v>
      </c>
      <c r="E11" s="99"/>
      <c r="F11" s="99"/>
      <c r="G11" s="99"/>
      <c r="H11" s="99" t="s">
        <v>215</v>
      </c>
      <c r="I11" s="99" t="s">
        <v>209</v>
      </c>
      <c r="J11" s="99">
        <v>12</v>
      </c>
      <c r="K11" s="99" t="s">
        <v>210</v>
      </c>
      <c r="L11" s="100"/>
      <c r="M11" s="101"/>
      <c r="N11" s="100"/>
      <c r="O11" s="102"/>
    </row>
    <row r="12" spans="1:15">
      <c r="A12" s="98" t="s">
        <v>218</v>
      </c>
      <c r="B12" s="98" t="s">
        <v>219</v>
      </c>
      <c r="C12" s="98" t="s">
        <v>57</v>
      </c>
      <c r="D12" s="98" t="s">
        <v>220</v>
      </c>
      <c r="E12" s="99"/>
      <c r="F12" s="99"/>
      <c r="G12" s="99" t="s">
        <v>221</v>
      </c>
      <c r="H12" s="99" t="s">
        <v>208</v>
      </c>
      <c r="I12" s="99" t="s">
        <v>209</v>
      </c>
      <c r="J12" s="99">
        <v>12</v>
      </c>
      <c r="K12" s="99" t="s">
        <v>210</v>
      </c>
      <c r="L12" s="100">
        <v>41414</v>
      </c>
      <c r="M12" s="101"/>
      <c r="N12" s="100">
        <f t="shared" si="0"/>
        <v>41778.98</v>
      </c>
      <c r="O12" s="102"/>
    </row>
    <row r="13" spans="1:15">
      <c r="A13" s="98" t="s">
        <v>222</v>
      </c>
      <c r="B13" s="98" t="s">
        <v>223</v>
      </c>
      <c r="C13" s="98" t="s">
        <v>224</v>
      </c>
      <c r="D13" s="98" t="s">
        <v>225</v>
      </c>
      <c r="E13" s="99" t="s">
        <v>206</v>
      </c>
      <c r="F13" s="99"/>
      <c r="G13" s="99" t="s">
        <v>226</v>
      </c>
      <c r="H13" s="99" t="s">
        <v>208</v>
      </c>
      <c r="I13" s="99" t="s">
        <v>209</v>
      </c>
      <c r="J13" s="99">
        <v>12</v>
      </c>
      <c r="K13" s="99" t="s">
        <v>210</v>
      </c>
      <c r="L13" s="100">
        <v>41415</v>
      </c>
      <c r="M13" s="101" t="s">
        <v>211</v>
      </c>
      <c r="N13" s="100">
        <f t="shared" si="0"/>
        <v>41779.98</v>
      </c>
      <c r="O13" s="102" t="s">
        <v>227</v>
      </c>
    </row>
    <row r="14" spans="1:15">
      <c r="A14" s="98" t="s">
        <v>228</v>
      </c>
      <c r="B14" s="98" t="s">
        <v>229</v>
      </c>
      <c r="C14" s="98" t="s">
        <v>224</v>
      </c>
      <c r="D14" s="98" t="s">
        <v>225</v>
      </c>
      <c r="E14" s="99" t="s">
        <v>206</v>
      </c>
      <c r="F14" s="99"/>
      <c r="G14" s="99" t="s">
        <v>226</v>
      </c>
      <c r="H14" s="99" t="s">
        <v>208</v>
      </c>
      <c r="I14" s="99" t="s">
        <v>209</v>
      </c>
      <c r="J14" s="99">
        <v>12</v>
      </c>
      <c r="K14" s="99" t="s">
        <v>210</v>
      </c>
      <c r="L14" s="100">
        <v>41415</v>
      </c>
      <c r="M14" s="101" t="s">
        <v>211</v>
      </c>
      <c r="N14" s="100">
        <f t="shared" si="0"/>
        <v>41779.98</v>
      </c>
      <c r="O14" s="102" t="s">
        <v>227</v>
      </c>
    </row>
    <row r="15" spans="1:15">
      <c r="A15" s="98" t="s">
        <v>230</v>
      </c>
      <c r="B15" s="98" t="s">
        <v>231</v>
      </c>
      <c r="C15" s="98" t="s">
        <v>224</v>
      </c>
      <c r="D15" s="98" t="s">
        <v>232</v>
      </c>
      <c r="E15" s="99" t="s">
        <v>233</v>
      </c>
      <c r="F15" s="99"/>
      <c r="G15" s="99" t="s">
        <v>234</v>
      </c>
      <c r="H15" s="99" t="s">
        <v>208</v>
      </c>
      <c r="I15" s="99" t="s">
        <v>209</v>
      </c>
      <c r="J15" s="99">
        <v>12</v>
      </c>
      <c r="K15" s="99" t="s">
        <v>210</v>
      </c>
      <c r="L15" s="100"/>
      <c r="M15" s="101"/>
      <c r="N15" s="100">
        <f t="shared" si="0"/>
        <v>364.98</v>
      </c>
      <c r="O15" s="102" t="s">
        <v>235</v>
      </c>
    </row>
    <row r="16" spans="1:15">
      <c r="A16" s="98" t="s">
        <v>236</v>
      </c>
      <c r="B16" s="98" t="s">
        <v>237</v>
      </c>
      <c r="C16" s="98" t="s">
        <v>63</v>
      </c>
      <c r="D16" s="98" t="s">
        <v>238</v>
      </c>
      <c r="E16" s="99"/>
      <c r="F16" s="99"/>
      <c r="G16" s="99" t="s">
        <v>239</v>
      </c>
      <c r="H16" s="99" t="s">
        <v>208</v>
      </c>
      <c r="I16" s="99"/>
      <c r="J16" s="99">
        <v>12</v>
      </c>
      <c r="K16" s="99" t="s">
        <v>210</v>
      </c>
      <c r="L16" s="100">
        <v>41563</v>
      </c>
      <c r="M16" s="101"/>
      <c r="N16" s="100">
        <f t="shared" si="0"/>
        <v>41927.98</v>
      </c>
      <c r="O16" s="102" t="s">
        <v>240</v>
      </c>
    </row>
    <row r="17" spans="1:15">
      <c r="A17" s="98" t="s">
        <v>241</v>
      </c>
      <c r="B17" s="98" t="s">
        <v>242</v>
      </c>
      <c r="C17" s="98" t="s">
        <v>63</v>
      </c>
      <c r="D17" s="98" t="s">
        <v>243</v>
      </c>
      <c r="E17" s="99" t="s">
        <v>206</v>
      </c>
      <c r="F17" s="99"/>
      <c r="G17" s="99" t="s">
        <v>207</v>
      </c>
      <c r="H17" s="99" t="s">
        <v>208</v>
      </c>
      <c r="I17" s="99" t="s">
        <v>209</v>
      </c>
      <c r="J17" s="99">
        <v>12</v>
      </c>
      <c r="K17" s="99" t="s">
        <v>210</v>
      </c>
      <c r="L17" s="100">
        <v>41415</v>
      </c>
      <c r="M17" s="101" t="s">
        <v>211</v>
      </c>
      <c r="N17" s="100">
        <f t="shared" si="0"/>
        <v>41779.98</v>
      </c>
      <c r="O17" s="102"/>
    </row>
    <row r="18" spans="1:15">
      <c r="A18" s="98" t="s">
        <v>244</v>
      </c>
      <c r="B18" s="98" t="s">
        <v>245</v>
      </c>
      <c r="C18" s="98" t="s">
        <v>63</v>
      </c>
      <c r="D18" s="98" t="s">
        <v>243</v>
      </c>
      <c r="E18" s="99" t="s">
        <v>206</v>
      </c>
      <c r="F18" s="99"/>
      <c r="G18" s="99" t="s">
        <v>246</v>
      </c>
      <c r="H18" s="99" t="s">
        <v>208</v>
      </c>
      <c r="I18" s="99" t="s">
        <v>209</v>
      </c>
      <c r="J18" s="99">
        <v>12</v>
      </c>
      <c r="K18" s="99" t="s">
        <v>210</v>
      </c>
      <c r="L18" s="100">
        <v>41415</v>
      </c>
      <c r="M18" s="101" t="s">
        <v>211</v>
      </c>
      <c r="N18" s="100">
        <f t="shared" si="0"/>
        <v>41779.98</v>
      </c>
      <c r="O18" s="102"/>
    </row>
    <row r="19" spans="1:15">
      <c r="A19" s="98" t="s">
        <v>247</v>
      </c>
      <c r="B19" s="98" t="s">
        <v>248</v>
      </c>
      <c r="C19" s="98" t="s">
        <v>63</v>
      </c>
      <c r="D19" s="98" t="s">
        <v>243</v>
      </c>
      <c r="E19" s="99" t="s">
        <v>206</v>
      </c>
      <c r="F19" s="99"/>
      <c r="G19" s="99" t="s">
        <v>246</v>
      </c>
      <c r="H19" s="99" t="s">
        <v>208</v>
      </c>
      <c r="I19" s="99" t="s">
        <v>209</v>
      </c>
      <c r="J19" s="99">
        <v>12</v>
      </c>
      <c r="K19" s="99" t="s">
        <v>210</v>
      </c>
      <c r="L19" s="100">
        <v>41415</v>
      </c>
      <c r="M19" s="101" t="s">
        <v>211</v>
      </c>
      <c r="N19" s="100">
        <f t="shared" si="0"/>
        <v>41779.98</v>
      </c>
      <c r="O19" s="102"/>
    </row>
    <row r="20" spans="1:15">
      <c r="A20" s="98" t="s">
        <v>249</v>
      </c>
      <c r="B20" s="98" t="s">
        <v>250</v>
      </c>
      <c r="C20" s="98" t="s">
        <v>63</v>
      </c>
      <c r="D20" s="98" t="s">
        <v>243</v>
      </c>
      <c r="E20" s="99" t="s">
        <v>206</v>
      </c>
      <c r="F20" s="99"/>
      <c r="G20" s="99" t="s">
        <v>246</v>
      </c>
      <c r="H20" s="99" t="s">
        <v>208</v>
      </c>
      <c r="I20" s="99" t="s">
        <v>209</v>
      </c>
      <c r="J20" s="99">
        <v>12</v>
      </c>
      <c r="K20" s="99" t="s">
        <v>210</v>
      </c>
      <c r="L20" s="100">
        <v>41415</v>
      </c>
      <c r="M20" s="101" t="s">
        <v>211</v>
      </c>
      <c r="N20" s="100">
        <f t="shared" si="0"/>
        <v>41779.98</v>
      </c>
      <c r="O20" s="102"/>
    </row>
    <row r="21" spans="1:15">
      <c r="A21" s="98" t="s">
        <v>251</v>
      </c>
      <c r="B21" s="98" t="s">
        <v>252</v>
      </c>
      <c r="C21" s="98" t="s">
        <v>64</v>
      </c>
      <c r="D21" s="98" t="s">
        <v>253</v>
      </c>
      <c r="E21" s="99"/>
      <c r="F21" s="99"/>
      <c r="G21" s="103"/>
      <c r="H21" s="99" t="s">
        <v>215</v>
      </c>
      <c r="I21" s="99"/>
      <c r="J21" s="99"/>
      <c r="K21" s="99" t="s">
        <v>210</v>
      </c>
      <c r="L21" s="100"/>
      <c r="M21" s="101"/>
      <c r="N21" s="100"/>
      <c r="O21" s="102"/>
    </row>
    <row r="22" spans="1:15">
      <c r="A22" s="98" t="s">
        <v>254</v>
      </c>
      <c r="B22" s="98" t="s">
        <v>255</v>
      </c>
      <c r="C22" s="98" t="s">
        <v>64</v>
      </c>
      <c r="D22" s="98" t="s">
        <v>253</v>
      </c>
      <c r="E22" s="99"/>
      <c r="F22" s="99"/>
      <c r="G22" s="99"/>
      <c r="H22" s="99" t="s">
        <v>215</v>
      </c>
      <c r="I22" s="99"/>
      <c r="J22" s="99"/>
      <c r="K22" s="99" t="s">
        <v>210</v>
      </c>
      <c r="L22" s="100"/>
      <c r="M22" s="101"/>
      <c r="N22" s="100"/>
      <c r="O22" s="102"/>
    </row>
    <row r="23" spans="1:15">
      <c r="A23" s="98" t="s">
        <v>256</v>
      </c>
      <c r="B23" s="98" t="s">
        <v>257</v>
      </c>
      <c r="C23" s="98" t="s">
        <v>64</v>
      </c>
      <c r="D23" s="98" t="s">
        <v>253</v>
      </c>
      <c r="E23" s="99"/>
      <c r="F23" s="99"/>
      <c r="G23" s="99"/>
      <c r="H23" s="99" t="s">
        <v>215</v>
      </c>
      <c r="I23" s="99"/>
      <c r="J23" s="99"/>
      <c r="K23" s="99" t="s">
        <v>210</v>
      </c>
      <c r="L23" s="100"/>
      <c r="M23" s="101"/>
      <c r="N23" s="100"/>
      <c r="O23" s="102"/>
    </row>
    <row r="24" spans="1:15">
      <c r="A24" s="98" t="s">
        <v>258</v>
      </c>
      <c r="B24" s="98" t="s">
        <v>259</v>
      </c>
      <c r="C24" s="98" t="s">
        <v>64</v>
      </c>
      <c r="D24" s="98" t="s">
        <v>253</v>
      </c>
      <c r="E24" s="99"/>
      <c r="F24" s="99"/>
      <c r="G24" s="99"/>
      <c r="H24" s="99" t="s">
        <v>215</v>
      </c>
      <c r="I24" s="99"/>
      <c r="J24" s="99"/>
      <c r="K24" s="99" t="s">
        <v>210</v>
      </c>
      <c r="L24" s="100"/>
      <c r="M24" s="101"/>
      <c r="N24" s="100"/>
      <c r="O24" s="102"/>
    </row>
    <row r="25" spans="1:15">
      <c r="A25" s="98" t="s">
        <v>260</v>
      </c>
      <c r="B25" s="98" t="s">
        <v>261</v>
      </c>
      <c r="C25" s="98" t="s">
        <v>64</v>
      </c>
      <c r="D25" s="98" t="s">
        <v>253</v>
      </c>
      <c r="E25" s="99"/>
      <c r="F25" s="99"/>
      <c r="G25" s="99"/>
      <c r="H25" s="99" t="s">
        <v>215</v>
      </c>
      <c r="I25" s="99"/>
      <c r="J25" s="99"/>
      <c r="K25" s="99" t="s">
        <v>210</v>
      </c>
      <c r="L25" s="100"/>
      <c r="M25" s="101"/>
      <c r="N25" s="100"/>
      <c r="O25" s="102"/>
    </row>
    <row r="26" spans="1:15">
      <c r="A26" s="98" t="s">
        <v>262</v>
      </c>
      <c r="B26" s="98" t="s">
        <v>263</v>
      </c>
      <c r="C26" s="98" t="s">
        <v>64</v>
      </c>
      <c r="D26" s="98" t="s">
        <v>253</v>
      </c>
      <c r="E26" s="99"/>
      <c r="F26" s="99"/>
      <c r="G26" s="99"/>
      <c r="H26" s="99" t="s">
        <v>215</v>
      </c>
      <c r="I26" s="99"/>
      <c r="J26" s="99"/>
      <c r="K26" s="99" t="s">
        <v>210</v>
      </c>
      <c r="L26" s="100"/>
      <c r="M26" s="101"/>
      <c r="N26" s="100"/>
      <c r="O26" s="102"/>
    </row>
    <row r="27" spans="1:15">
      <c r="A27" s="98" t="s">
        <v>264</v>
      </c>
      <c r="B27" s="98" t="s">
        <v>265</v>
      </c>
      <c r="C27" s="98" t="s">
        <v>64</v>
      </c>
      <c r="D27" s="98" t="s">
        <v>253</v>
      </c>
      <c r="E27" s="99" t="s">
        <v>266</v>
      </c>
      <c r="F27" s="99"/>
      <c r="G27" s="99"/>
      <c r="H27" s="99" t="s">
        <v>215</v>
      </c>
      <c r="I27" s="99"/>
      <c r="J27" s="99"/>
      <c r="K27" s="99" t="s">
        <v>210</v>
      </c>
      <c r="L27" s="100"/>
      <c r="M27" s="101"/>
      <c r="N27" s="100"/>
      <c r="O27" s="102"/>
    </row>
    <row r="28" spans="1:15">
      <c r="A28" s="98" t="s">
        <v>267</v>
      </c>
      <c r="B28" s="98" t="s">
        <v>268</v>
      </c>
      <c r="C28" s="98" t="s">
        <v>60</v>
      </c>
      <c r="D28" s="98" t="s">
        <v>269</v>
      </c>
      <c r="E28" s="99" t="s">
        <v>266</v>
      </c>
      <c r="F28" s="99"/>
      <c r="G28" s="99" t="s">
        <v>234</v>
      </c>
      <c r="H28" s="99" t="s">
        <v>208</v>
      </c>
      <c r="I28" s="99" t="s">
        <v>209</v>
      </c>
      <c r="J28" s="99">
        <v>12</v>
      </c>
      <c r="K28" s="99" t="s">
        <v>210</v>
      </c>
      <c r="L28" s="100">
        <v>41418</v>
      </c>
      <c r="M28" s="101" t="s">
        <v>211</v>
      </c>
      <c r="N28" s="100">
        <f t="shared" ref="N28:N47" si="1">L28+(J28*7*4.345)</f>
        <v>41782.98</v>
      </c>
      <c r="O28" s="102"/>
    </row>
    <row r="29" spans="1:15">
      <c r="A29" s="98" t="s">
        <v>270</v>
      </c>
      <c r="B29" s="98" t="s">
        <v>271</v>
      </c>
      <c r="C29" s="98" t="s">
        <v>272</v>
      </c>
      <c r="D29" s="98" t="s">
        <v>273</v>
      </c>
      <c r="E29" s="99" t="s">
        <v>274</v>
      </c>
      <c r="F29" s="99"/>
      <c r="G29" s="99" t="s">
        <v>275</v>
      </c>
      <c r="H29" s="99" t="s">
        <v>208</v>
      </c>
      <c r="I29" s="99" t="s">
        <v>209</v>
      </c>
      <c r="J29" s="99">
        <v>12</v>
      </c>
      <c r="K29" s="99" t="s">
        <v>210</v>
      </c>
      <c r="L29" s="100"/>
      <c r="M29" s="101"/>
      <c r="N29" s="100">
        <f t="shared" si="1"/>
        <v>364.98</v>
      </c>
      <c r="O29" s="102" t="s">
        <v>276</v>
      </c>
    </row>
    <row r="30" spans="1:15">
      <c r="A30" s="98" t="s">
        <v>277</v>
      </c>
      <c r="B30" s="98" t="s">
        <v>278</v>
      </c>
      <c r="C30" s="98" t="s">
        <v>272</v>
      </c>
      <c r="D30" s="98" t="s">
        <v>279</v>
      </c>
      <c r="E30" s="99" t="s">
        <v>274</v>
      </c>
      <c r="F30" s="99"/>
      <c r="G30" s="99" t="s">
        <v>275</v>
      </c>
      <c r="H30" s="99" t="s">
        <v>208</v>
      </c>
      <c r="I30" s="99" t="s">
        <v>209</v>
      </c>
      <c r="J30" s="99">
        <v>12</v>
      </c>
      <c r="K30" s="99" t="s">
        <v>210</v>
      </c>
      <c r="L30" s="100"/>
      <c r="M30" s="101"/>
      <c r="N30" s="100">
        <f t="shared" si="1"/>
        <v>364.98</v>
      </c>
      <c r="O30" s="102" t="s">
        <v>276</v>
      </c>
    </row>
    <row r="31" spans="1:15">
      <c r="A31" s="98" t="s">
        <v>280</v>
      </c>
      <c r="B31" s="98" t="s">
        <v>281</v>
      </c>
      <c r="C31" s="98" t="s">
        <v>272</v>
      </c>
      <c r="D31" s="98" t="s">
        <v>282</v>
      </c>
      <c r="E31" s="99" t="s">
        <v>274</v>
      </c>
      <c r="F31" s="99"/>
      <c r="G31" s="99" t="s">
        <v>275</v>
      </c>
      <c r="H31" s="99" t="s">
        <v>208</v>
      </c>
      <c r="I31" s="99" t="s">
        <v>209</v>
      </c>
      <c r="J31" s="99">
        <v>12</v>
      </c>
      <c r="K31" s="99" t="s">
        <v>210</v>
      </c>
      <c r="L31" s="100"/>
      <c r="M31" s="101"/>
      <c r="N31" s="100">
        <f t="shared" si="1"/>
        <v>364.98</v>
      </c>
      <c r="O31" s="102" t="s">
        <v>276</v>
      </c>
    </row>
    <row r="32" spans="1:15">
      <c r="A32" s="98" t="s">
        <v>283</v>
      </c>
      <c r="B32" s="98" t="s">
        <v>284</v>
      </c>
      <c r="C32" s="98" t="s">
        <v>272</v>
      </c>
      <c r="D32" s="98" t="s">
        <v>285</v>
      </c>
      <c r="E32" s="99" t="s">
        <v>274</v>
      </c>
      <c r="F32" s="99"/>
      <c r="G32" s="99" t="s">
        <v>275</v>
      </c>
      <c r="H32" s="99" t="s">
        <v>208</v>
      </c>
      <c r="I32" s="99" t="s">
        <v>209</v>
      </c>
      <c r="J32" s="99">
        <v>12</v>
      </c>
      <c r="K32" s="99" t="s">
        <v>210</v>
      </c>
      <c r="L32" s="100"/>
      <c r="M32" s="101"/>
      <c r="N32" s="100">
        <f t="shared" si="1"/>
        <v>364.98</v>
      </c>
      <c r="O32" s="102" t="s">
        <v>276</v>
      </c>
    </row>
    <row r="33" spans="1:15">
      <c r="A33" s="98" t="s">
        <v>286</v>
      </c>
      <c r="B33" s="98" t="s">
        <v>287</v>
      </c>
      <c r="C33" s="98" t="s">
        <v>272</v>
      </c>
      <c r="D33" s="98" t="s">
        <v>285</v>
      </c>
      <c r="E33" s="99" t="s">
        <v>274</v>
      </c>
      <c r="F33" s="99"/>
      <c r="G33" s="99" t="s">
        <v>275</v>
      </c>
      <c r="H33" s="99" t="s">
        <v>208</v>
      </c>
      <c r="I33" s="99" t="s">
        <v>209</v>
      </c>
      <c r="J33" s="99">
        <v>12</v>
      </c>
      <c r="K33" s="99" t="s">
        <v>210</v>
      </c>
      <c r="L33" s="100"/>
      <c r="M33" s="101"/>
      <c r="N33" s="100">
        <f t="shared" si="1"/>
        <v>364.98</v>
      </c>
      <c r="O33" s="102" t="s">
        <v>276</v>
      </c>
    </row>
    <row r="34" spans="1:15">
      <c r="A34" s="98" t="s">
        <v>288</v>
      </c>
      <c r="B34" s="98" t="s">
        <v>289</v>
      </c>
      <c r="C34" s="98" t="s">
        <v>272</v>
      </c>
      <c r="D34" s="98" t="s">
        <v>290</v>
      </c>
      <c r="E34" s="99" t="s">
        <v>274</v>
      </c>
      <c r="F34" s="99"/>
      <c r="G34" s="99" t="s">
        <v>275</v>
      </c>
      <c r="H34" s="99" t="s">
        <v>208</v>
      </c>
      <c r="I34" s="99" t="s">
        <v>209</v>
      </c>
      <c r="J34" s="99">
        <v>12</v>
      </c>
      <c r="K34" s="99" t="s">
        <v>210</v>
      </c>
      <c r="L34" s="100"/>
      <c r="M34" s="101"/>
      <c r="N34" s="100">
        <f t="shared" si="1"/>
        <v>364.98</v>
      </c>
      <c r="O34" s="102" t="s">
        <v>276</v>
      </c>
    </row>
    <row r="35" spans="1:15">
      <c r="A35" s="98" t="s">
        <v>291</v>
      </c>
      <c r="B35" s="98" t="s">
        <v>292</v>
      </c>
      <c r="C35" s="98" t="s">
        <v>272</v>
      </c>
      <c r="D35" s="98" t="s">
        <v>293</v>
      </c>
      <c r="E35" s="99" t="s">
        <v>274</v>
      </c>
      <c r="F35" s="99"/>
      <c r="G35" s="99" t="s">
        <v>275</v>
      </c>
      <c r="H35" s="99" t="s">
        <v>208</v>
      </c>
      <c r="I35" s="99" t="s">
        <v>209</v>
      </c>
      <c r="J35" s="99">
        <v>12</v>
      </c>
      <c r="K35" s="99" t="s">
        <v>210</v>
      </c>
      <c r="L35" s="100"/>
      <c r="M35" s="101"/>
      <c r="N35" s="100">
        <f t="shared" si="1"/>
        <v>364.98</v>
      </c>
      <c r="O35" s="102" t="s">
        <v>276</v>
      </c>
    </row>
    <row r="36" spans="1:15">
      <c r="A36" s="98" t="s">
        <v>294</v>
      </c>
      <c r="B36" s="98" t="s">
        <v>295</v>
      </c>
      <c r="C36" s="98" t="s">
        <v>272</v>
      </c>
      <c r="D36" s="98" t="s">
        <v>296</v>
      </c>
      <c r="E36" s="99" t="s">
        <v>274</v>
      </c>
      <c r="F36" s="99"/>
      <c r="G36" s="99" t="s">
        <v>275</v>
      </c>
      <c r="H36" s="99" t="s">
        <v>208</v>
      </c>
      <c r="I36" s="99" t="s">
        <v>209</v>
      </c>
      <c r="J36" s="99">
        <v>12</v>
      </c>
      <c r="K36" s="99" t="s">
        <v>210</v>
      </c>
      <c r="L36" s="100"/>
      <c r="M36" s="101"/>
      <c r="N36" s="100">
        <f t="shared" si="1"/>
        <v>364.98</v>
      </c>
      <c r="O36" s="102" t="s">
        <v>276</v>
      </c>
    </row>
    <row r="37" spans="1:15">
      <c r="A37" s="98" t="s">
        <v>297</v>
      </c>
      <c r="B37" s="98" t="s">
        <v>298</v>
      </c>
      <c r="C37" s="98" t="s">
        <v>272</v>
      </c>
      <c r="D37" s="98" t="s">
        <v>299</v>
      </c>
      <c r="E37" s="99" t="s">
        <v>274</v>
      </c>
      <c r="F37" s="99"/>
      <c r="G37" s="99" t="s">
        <v>275</v>
      </c>
      <c r="H37" s="99" t="s">
        <v>208</v>
      </c>
      <c r="I37" s="99" t="s">
        <v>209</v>
      </c>
      <c r="J37" s="99">
        <v>12</v>
      </c>
      <c r="K37" s="99" t="s">
        <v>210</v>
      </c>
      <c r="L37" s="100"/>
      <c r="M37" s="101"/>
      <c r="N37" s="100">
        <f t="shared" si="1"/>
        <v>364.98</v>
      </c>
      <c r="O37" s="102" t="s">
        <v>276</v>
      </c>
    </row>
    <row r="38" spans="1:15">
      <c r="A38" s="98" t="s">
        <v>300</v>
      </c>
      <c r="B38" s="98" t="s">
        <v>301</v>
      </c>
      <c r="C38" s="98" t="s">
        <v>272</v>
      </c>
      <c r="D38" s="98" t="s">
        <v>302</v>
      </c>
      <c r="E38" s="99" t="s">
        <v>274</v>
      </c>
      <c r="F38" s="99"/>
      <c r="G38" s="99" t="s">
        <v>275</v>
      </c>
      <c r="H38" s="99" t="s">
        <v>208</v>
      </c>
      <c r="I38" s="99" t="s">
        <v>209</v>
      </c>
      <c r="J38" s="99">
        <v>12</v>
      </c>
      <c r="K38" s="99" t="s">
        <v>210</v>
      </c>
      <c r="L38" s="100"/>
      <c r="M38" s="101"/>
      <c r="N38" s="100">
        <f t="shared" si="1"/>
        <v>364.98</v>
      </c>
      <c r="O38" s="102" t="s">
        <v>276</v>
      </c>
    </row>
    <row r="39" spans="1:15">
      <c r="A39" s="98" t="s">
        <v>303</v>
      </c>
      <c r="B39" s="98" t="s">
        <v>304</v>
      </c>
      <c r="C39" s="98" t="s">
        <v>21</v>
      </c>
      <c r="D39" s="98" t="s">
        <v>305</v>
      </c>
      <c r="E39" s="99" t="s">
        <v>266</v>
      </c>
      <c r="F39" s="99"/>
      <c r="G39" s="103" t="s">
        <v>306</v>
      </c>
      <c r="H39" s="99" t="s">
        <v>208</v>
      </c>
      <c r="I39" s="99" t="s">
        <v>209</v>
      </c>
      <c r="J39" s="99">
        <v>12</v>
      </c>
      <c r="K39" s="99" t="s">
        <v>210</v>
      </c>
      <c r="L39" s="100"/>
      <c r="M39" s="101"/>
      <c r="N39" s="100">
        <f t="shared" si="1"/>
        <v>364.98</v>
      </c>
      <c r="O39" s="102" t="s">
        <v>307</v>
      </c>
    </row>
    <row r="40" spans="1:15">
      <c r="A40" s="98" t="s">
        <v>308</v>
      </c>
      <c r="B40" s="98" t="s">
        <v>309</v>
      </c>
      <c r="C40" s="98" t="s">
        <v>21</v>
      </c>
      <c r="D40" s="98" t="s">
        <v>305</v>
      </c>
      <c r="E40" s="99" t="s">
        <v>266</v>
      </c>
      <c r="F40" s="99"/>
      <c r="G40" s="103" t="s">
        <v>306</v>
      </c>
      <c r="H40" s="99" t="s">
        <v>208</v>
      </c>
      <c r="I40" s="99" t="s">
        <v>209</v>
      </c>
      <c r="J40" s="99">
        <v>12</v>
      </c>
      <c r="K40" s="99" t="s">
        <v>210</v>
      </c>
      <c r="L40" s="100">
        <v>41329</v>
      </c>
      <c r="M40" s="101" t="s">
        <v>211</v>
      </c>
      <c r="N40" s="100">
        <f t="shared" si="1"/>
        <v>41693.98</v>
      </c>
      <c r="O40" s="102" t="s">
        <v>307</v>
      </c>
    </row>
    <row r="41" spans="1:15">
      <c r="A41" s="98" t="s">
        <v>310</v>
      </c>
      <c r="B41" s="98"/>
      <c r="C41" s="98"/>
      <c r="D41" s="98" t="s">
        <v>311</v>
      </c>
      <c r="E41" s="99" t="s">
        <v>312</v>
      </c>
      <c r="F41" s="99"/>
      <c r="G41" s="103" t="s">
        <v>313</v>
      </c>
      <c r="H41" s="99" t="s">
        <v>208</v>
      </c>
      <c r="I41" s="99" t="s">
        <v>209</v>
      </c>
      <c r="J41" s="99">
        <v>12</v>
      </c>
      <c r="K41" s="99" t="s">
        <v>210</v>
      </c>
      <c r="L41" s="100">
        <v>41415</v>
      </c>
      <c r="M41" s="101" t="s">
        <v>211</v>
      </c>
      <c r="N41" s="100">
        <f t="shared" si="1"/>
        <v>41779.98</v>
      </c>
      <c r="O41" s="104"/>
    </row>
    <row r="42" spans="1:15">
      <c r="A42" s="98" t="s">
        <v>314</v>
      </c>
      <c r="B42" s="98"/>
      <c r="C42" s="98"/>
      <c r="D42" s="98" t="s">
        <v>311</v>
      </c>
      <c r="E42" s="99" t="s">
        <v>312</v>
      </c>
      <c r="F42" s="99"/>
      <c r="G42" s="103" t="s">
        <v>313</v>
      </c>
      <c r="H42" s="99" t="s">
        <v>208</v>
      </c>
      <c r="I42" s="99" t="s">
        <v>209</v>
      </c>
      <c r="J42" s="99">
        <v>12</v>
      </c>
      <c r="K42" s="99" t="s">
        <v>210</v>
      </c>
      <c r="L42" s="100">
        <v>41415</v>
      </c>
      <c r="M42" s="101" t="s">
        <v>211</v>
      </c>
      <c r="N42" s="100">
        <f t="shared" si="1"/>
        <v>41779.98</v>
      </c>
      <c r="O42" s="104"/>
    </row>
    <row r="43" spans="1:15">
      <c r="A43" s="98" t="s">
        <v>315</v>
      </c>
      <c r="B43" s="98"/>
      <c r="C43" s="98"/>
      <c r="D43" s="98" t="s">
        <v>311</v>
      </c>
      <c r="E43" s="99" t="s">
        <v>312</v>
      </c>
      <c r="F43" s="99"/>
      <c r="G43" s="103" t="s">
        <v>313</v>
      </c>
      <c r="H43" s="99" t="s">
        <v>208</v>
      </c>
      <c r="I43" s="99" t="s">
        <v>209</v>
      </c>
      <c r="J43" s="99">
        <v>12</v>
      </c>
      <c r="K43" s="99" t="s">
        <v>210</v>
      </c>
      <c r="L43" s="100">
        <v>41415</v>
      </c>
      <c r="M43" s="101" t="s">
        <v>211</v>
      </c>
      <c r="N43" s="100">
        <f t="shared" si="1"/>
        <v>41779.98</v>
      </c>
      <c r="O43" s="104"/>
    </row>
    <row r="44" spans="1:15">
      <c r="A44" s="98" t="s">
        <v>316</v>
      </c>
      <c r="B44" s="98"/>
      <c r="C44" s="98"/>
      <c r="D44" s="98" t="s">
        <v>317</v>
      </c>
      <c r="E44" s="99" t="s">
        <v>312</v>
      </c>
      <c r="F44" s="99"/>
      <c r="G44" s="99" t="s">
        <v>221</v>
      </c>
      <c r="H44" s="99" t="s">
        <v>208</v>
      </c>
      <c r="I44" s="99" t="s">
        <v>209</v>
      </c>
      <c r="J44" s="99">
        <v>12</v>
      </c>
      <c r="K44" s="99" t="s">
        <v>210</v>
      </c>
      <c r="L44" s="100">
        <v>41415</v>
      </c>
      <c r="M44" s="101" t="s">
        <v>211</v>
      </c>
      <c r="N44" s="100">
        <f t="shared" si="1"/>
        <v>41779.98</v>
      </c>
      <c r="O44" s="104"/>
    </row>
    <row r="45" spans="1:15">
      <c r="A45" s="98" t="s">
        <v>318</v>
      </c>
      <c r="B45" s="98"/>
      <c r="C45" s="98"/>
      <c r="D45" s="98" t="s">
        <v>319</v>
      </c>
      <c r="E45" s="99"/>
      <c r="F45" s="99"/>
      <c r="G45" s="103" t="s">
        <v>246</v>
      </c>
      <c r="H45" s="99" t="s">
        <v>208</v>
      </c>
      <c r="I45" s="99" t="s">
        <v>209</v>
      </c>
      <c r="J45" s="99">
        <v>12</v>
      </c>
      <c r="K45" s="99" t="s">
        <v>210</v>
      </c>
      <c r="L45" s="100">
        <v>41415</v>
      </c>
      <c r="M45" s="101" t="s">
        <v>211</v>
      </c>
      <c r="N45" s="100">
        <f t="shared" si="1"/>
        <v>41779.98</v>
      </c>
      <c r="O45" s="104"/>
    </row>
    <row r="46" spans="1:15">
      <c r="A46" s="98" t="s">
        <v>320</v>
      </c>
      <c r="B46" s="98"/>
      <c r="C46" s="98"/>
      <c r="D46" s="98" t="s">
        <v>319</v>
      </c>
      <c r="E46" s="99"/>
      <c r="F46" s="99"/>
      <c r="G46" s="103" t="s">
        <v>246</v>
      </c>
      <c r="H46" s="99" t="s">
        <v>208</v>
      </c>
      <c r="I46" s="99" t="s">
        <v>209</v>
      </c>
      <c r="J46" s="99">
        <v>12</v>
      </c>
      <c r="K46" s="99" t="s">
        <v>210</v>
      </c>
      <c r="L46" s="100">
        <v>41415</v>
      </c>
      <c r="M46" s="101" t="s">
        <v>211</v>
      </c>
      <c r="N46" s="100">
        <f t="shared" si="1"/>
        <v>41779.98</v>
      </c>
      <c r="O46" s="104" t="s">
        <v>321</v>
      </c>
    </row>
    <row r="47" spans="1:15">
      <c r="A47" s="98" t="s">
        <v>322</v>
      </c>
      <c r="B47" s="98"/>
      <c r="C47" s="98"/>
      <c r="D47" s="98" t="s">
        <v>323</v>
      </c>
      <c r="E47" s="99" t="s">
        <v>312</v>
      </c>
      <c r="F47" s="99"/>
      <c r="G47" s="103" t="s">
        <v>324</v>
      </c>
      <c r="H47" s="99" t="s">
        <v>208</v>
      </c>
      <c r="I47" s="99" t="s">
        <v>209</v>
      </c>
      <c r="J47" s="99">
        <v>12</v>
      </c>
      <c r="K47" s="99" t="s">
        <v>210</v>
      </c>
      <c r="L47" s="100">
        <v>41329</v>
      </c>
      <c r="M47" s="101" t="s">
        <v>211</v>
      </c>
      <c r="N47" s="100">
        <f t="shared" si="1"/>
        <v>41693.98</v>
      </c>
      <c r="O47" s="104"/>
    </row>
    <row r="48" spans="1:15">
      <c r="A48" s="89" t="s">
        <v>325</v>
      </c>
      <c r="B48" s="105"/>
      <c r="C48" s="106"/>
      <c r="D48" s="107" t="s">
        <v>326</v>
      </c>
      <c r="E48" s="108"/>
      <c r="F48" s="105"/>
      <c r="G48" s="109"/>
      <c r="H48" s="109"/>
      <c r="I48" s="109"/>
      <c r="J48" s="109"/>
      <c r="K48" s="109"/>
      <c r="L48" s="110"/>
      <c r="M48" s="111"/>
      <c r="N48" s="112"/>
      <c r="O48" s="113"/>
    </row>
    <row r="49" ht="38.25" spans="1:15">
      <c r="A49" s="82" t="s">
        <v>186</v>
      </c>
      <c r="B49" s="83" t="s">
        <v>187</v>
      </c>
      <c r="C49" s="84" t="s">
        <v>188</v>
      </c>
      <c r="D49" s="83" t="s">
        <v>189</v>
      </c>
      <c r="E49" s="84" t="s">
        <v>190</v>
      </c>
      <c r="F49" s="84" t="s">
        <v>191</v>
      </c>
      <c r="G49" s="84" t="s">
        <v>192</v>
      </c>
      <c r="H49" s="84" t="s">
        <v>193</v>
      </c>
      <c r="I49" s="84" t="s">
        <v>194</v>
      </c>
      <c r="J49" s="84" t="s">
        <v>195</v>
      </c>
      <c r="K49" s="84" t="s">
        <v>196</v>
      </c>
      <c r="L49" s="85" t="s">
        <v>197</v>
      </c>
      <c r="M49" s="86" t="s">
        <v>198</v>
      </c>
      <c r="N49" s="85" t="s">
        <v>199</v>
      </c>
      <c r="O49" s="114" t="s">
        <v>200</v>
      </c>
    </row>
    <row r="50" spans="1:15">
      <c r="A50" s="97" t="s">
        <v>327</v>
      </c>
      <c r="B50" s="98" t="s">
        <v>328</v>
      </c>
      <c r="C50" s="98" t="s">
        <v>329</v>
      </c>
      <c r="D50" s="97" t="s">
        <v>330</v>
      </c>
      <c r="E50" s="115" t="s">
        <v>331</v>
      </c>
      <c r="F50" s="98"/>
      <c r="G50" s="99" t="s">
        <v>332</v>
      </c>
      <c r="H50" s="115" t="s">
        <v>333</v>
      </c>
      <c r="I50" s="115" t="s">
        <v>334</v>
      </c>
      <c r="J50" s="99">
        <v>3</v>
      </c>
      <c r="K50" s="99" t="s">
        <v>335</v>
      </c>
      <c r="L50" s="102" t="s">
        <v>336</v>
      </c>
      <c r="M50" s="116" t="s">
        <v>336</v>
      </c>
      <c r="N50" s="100"/>
      <c r="O50" s="117"/>
    </row>
    <row r="51" spans="1:15">
      <c r="A51" s="98" t="s">
        <v>337</v>
      </c>
      <c r="B51" s="98" t="s">
        <v>328</v>
      </c>
      <c r="C51" s="98" t="s">
        <v>329</v>
      </c>
      <c r="D51" s="98" t="s">
        <v>338</v>
      </c>
      <c r="E51" s="115" t="s">
        <v>331</v>
      </c>
      <c r="F51" s="98"/>
      <c r="G51" s="614" t="s">
        <v>339</v>
      </c>
      <c r="H51" s="115" t="s">
        <v>208</v>
      </c>
      <c r="I51" s="115" t="s">
        <v>209</v>
      </c>
      <c r="J51" s="99">
        <v>24</v>
      </c>
      <c r="K51" s="99" t="s">
        <v>335</v>
      </c>
      <c r="L51" s="102"/>
      <c r="M51" s="116"/>
      <c r="N51" s="100"/>
      <c r="O51" s="117"/>
    </row>
    <row r="52" spans="1:15">
      <c r="A52" s="98" t="s">
        <v>340</v>
      </c>
      <c r="B52" s="98" t="s">
        <v>341</v>
      </c>
      <c r="C52" s="98" t="s">
        <v>342</v>
      </c>
      <c r="D52" s="98" t="s">
        <v>343</v>
      </c>
      <c r="E52" s="115" t="s">
        <v>331</v>
      </c>
      <c r="F52" s="98"/>
      <c r="G52" s="118" t="s">
        <v>344</v>
      </c>
      <c r="H52" s="115" t="s">
        <v>208</v>
      </c>
      <c r="I52" s="115" t="s">
        <v>209</v>
      </c>
      <c r="J52" s="99">
        <v>12</v>
      </c>
      <c r="K52" s="99" t="s">
        <v>345</v>
      </c>
      <c r="L52" s="104">
        <v>41396</v>
      </c>
      <c r="M52" s="116" t="s">
        <v>346</v>
      </c>
      <c r="N52" s="100">
        <f t="shared" ref="N52:N60" si="2">L52+(J52*7*4.345)</f>
        <v>41760.98</v>
      </c>
      <c r="O52" s="102"/>
    </row>
    <row r="53" spans="1:15">
      <c r="A53" s="98" t="s">
        <v>347</v>
      </c>
      <c r="B53" s="98" t="s">
        <v>348</v>
      </c>
      <c r="C53" s="98" t="s">
        <v>342</v>
      </c>
      <c r="D53" s="98" t="s">
        <v>343</v>
      </c>
      <c r="E53" s="115" t="s">
        <v>206</v>
      </c>
      <c r="F53" s="98"/>
      <c r="G53" s="118" t="s">
        <v>344</v>
      </c>
      <c r="H53" s="115" t="s">
        <v>208</v>
      </c>
      <c r="I53" s="115" t="s">
        <v>209</v>
      </c>
      <c r="J53" s="99">
        <v>12</v>
      </c>
      <c r="K53" s="99" t="s">
        <v>345</v>
      </c>
      <c r="L53" s="104">
        <v>41396</v>
      </c>
      <c r="M53" s="116" t="s">
        <v>346</v>
      </c>
      <c r="N53" s="100">
        <f t="shared" si="2"/>
        <v>41760.98</v>
      </c>
      <c r="O53" s="102"/>
    </row>
    <row r="54" spans="1:15">
      <c r="A54" s="98" t="s">
        <v>349</v>
      </c>
      <c r="B54" s="98" t="s">
        <v>350</v>
      </c>
      <c r="C54" s="98" t="s">
        <v>342</v>
      </c>
      <c r="D54" s="98" t="s">
        <v>343</v>
      </c>
      <c r="E54" s="115" t="s">
        <v>206</v>
      </c>
      <c r="F54" s="98"/>
      <c r="G54" s="118" t="s">
        <v>344</v>
      </c>
      <c r="H54" s="115" t="s">
        <v>208</v>
      </c>
      <c r="I54" s="115" t="s">
        <v>209</v>
      </c>
      <c r="J54" s="99">
        <v>12</v>
      </c>
      <c r="K54" s="99" t="s">
        <v>210</v>
      </c>
      <c r="L54" s="104">
        <v>41396</v>
      </c>
      <c r="M54" s="116" t="s">
        <v>346</v>
      </c>
      <c r="N54" s="100">
        <f t="shared" si="2"/>
        <v>41760.98</v>
      </c>
      <c r="O54" s="102"/>
    </row>
    <row r="55" spans="1:15">
      <c r="A55" s="98" t="s">
        <v>351</v>
      </c>
      <c r="B55" s="98" t="s">
        <v>352</v>
      </c>
      <c r="C55" s="98" t="s">
        <v>342</v>
      </c>
      <c r="D55" s="98" t="s">
        <v>343</v>
      </c>
      <c r="E55" s="115" t="s">
        <v>206</v>
      </c>
      <c r="F55" s="98"/>
      <c r="G55" s="118" t="s">
        <v>344</v>
      </c>
      <c r="H55" s="115" t="s">
        <v>208</v>
      </c>
      <c r="I55" s="115" t="s">
        <v>209</v>
      </c>
      <c r="J55" s="99">
        <v>12</v>
      </c>
      <c r="K55" s="99" t="s">
        <v>210</v>
      </c>
      <c r="L55" s="104">
        <v>41396</v>
      </c>
      <c r="M55" s="116" t="s">
        <v>346</v>
      </c>
      <c r="N55" s="100">
        <f t="shared" si="2"/>
        <v>41760.98</v>
      </c>
      <c r="O55" s="102"/>
    </row>
    <row r="56" spans="1:15">
      <c r="A56" s="98" t="s">
        <v>353</v>
      </c>
      <c r="B56" s="98" t="s">
        <v>354</v>
      </c>
      <c r="C56" s="98" t="s">
        <v>342</v>
      </c>
      <c r="D56" s="98" t="s">
        <v>355</v>
      </c>
      <c r="E56" s="115" t="s">
        <v>206</v>
      </c>
      <c r="F56" s="98"/>
      <c r="G56" s="118" t="s">
        <v>356</v>
      </c>
      <c r="H56" s="115" t="s">
        <v>208</v>
      </c>
      <c r="I56" s="115" t="s">
        <v>209</v>
      </c>
      <c r="J56" s="99">
        <v>12</v>
      </c>
      <c r="K56" s="99" t="s">
        <v>210</v>
      </c>
      <c r="L56" s="104">
        <v>40666</v>
      </c>
      <c r="M56" s="116" t="s">
        <v>346</v>
      </c>
      <c r="N56" s="100">
        <f t="shared" si="2"/>
        <v>41030.98</v>
      </c>
      <c r="O56" s="100"/>
    </row>
    <row r="57" spans="1:15">
      <c r="A57" s="98" t="s">
        <v>357</v>
      </c>
      <c r="B57" s="98" t="s">
        <v>358</v>
      </c>
      <c r="C57" s="98" t="s">
        <v>342</v>
      </c>
      <c r="D57" s="98" t="s">
        <v>355</v>
      </c>
      <c r="E57" s="115" t="s">
        <v>331</v>
      </c>
      <c r="F57" s="98"/>
      <c r="G57" s="118" t="s">
        <v>356</v>
      </c>
      <c r="H57" s="115" t="s">
        <v>208</v>
      </c>
      <c r="I57" s="115" t="s">
        <v>209</v>
      </c>
      <c r="J57" s="99">
        <v>12</v>
      </c>
      <c r="K57" s="99" t="s">
        <v>210</v>
      </c>
      <c r="L57" s="104">
        <v>41397</v>
      </c>
      <c r="M57" s="116" t="s">
        <v>346</v>
      </c>
      <c r="N57" s="100">
        <f t="shared" si="2"/>
        <v>41761.98</v>
      </c>
      <c r="O57" s="102"/>
    </row>
    <row r="58" spans="1:15">
      <c r="A58" s="98" t="s">
        <v>359</v>
      </c>
      <c r="B58" s="98" t="s">
        <v>360</v>
      </c>
      <c r="C58" s="98" t="s">
        <v>342</v>
      </c>
      <c r="D58" s="98" t="s">
        <v>355</v>
      </c>
      <c r="E58" s="115" t="s">
        <v>331</v>
      </c>
      <c r="F58" s="98"/>
      <c r="G58" s="118" t="s">
        <v>356</v>
      </c>
      <c r="H58" s="115" t="s">
        <v>208</v>
      </c>
      <c r="I58" s="115" t="s">
        <v>209</v>
      </c>
      <c r="J58" s="99">
        <v>12</v>
      </c>
      <c r="K58" s="99" t="s">
        <v>210</v>
      </c>
      <c r="L58" s="104">
        <v>41397</v>
      </c>
      <c r="M58" s="116" t="s">
        <v>346</v>
      </c>
      <c r="N58" s="100">
        <f t="shared" si="2"/>
        <v>41761.98</v>
      </c>
      <c r="O58" s="102"/>
    </row>
    <row r="59" spans="1:15">
      <c r="A59" s="98" t="s">
        <v>361</v>
      </c>
      <c r="B59" s="98" t="s">
        <v>362</v>
      </c>
      <c r="C59" s="98" t="s">
        <v>342</v>
      </c>
      <c r="D59" s="98" t="s">
        <v>355</v>
      </c>
      <c r="E59" s="115" t="s">
        <v>331</v>
      </c>
      <c r="F59" s="98"/>
      <c r="G59" s="118" t="s">
        <v>356</v>
      </c>
      <c r="H59" s="115" t="s">
        <v>208</v>
      </c>
      <c r="I59" s="115" t="s">
        <v>209</v>
      </c>
      <c r="J59" s="99">
        <v>12</v>
      </c>
      <c r="K59" s="99" t="s">
        <v>210</v>
      </c>
      <c r="L59" s="104">
        <v>41397</v>
      </c>
      <c r="M59" s="116" t="s">
        <v>346</v>
      </c>
      <c r="N59" s="100">
        <f t="shared" si="2"/>
        <v>41761.98</v>
      </c>
      <c r="O59" s="102"/>
    </row>
    <row r="60" spans="1:15">
      <c r="A60" s="98" t="s">
        <v>363</v>
      </c>
      <c r="B60" s="98" t="s">
        <v>364</v>
      </c>
      <c r="C60" s="98" t="s">
        <v>342</v>
      </c>
      <c r="D60" s="98" t="s">
        <v>319</v>
      </c>
      <c r="E60" s="115" t="s">
        <v>331</v>
      </c>
      <c r="F60" s="98"/>
      <c r="G60" s="118" t="s">
        <v>365</v>
      </c>
      <c r="H60" s="115" t="s">
        <v>208</v>
      </c>
      <c r="I60" s="115"/>
      <c r="J60" s="99">
        <v>12</v>
      </c>
      <c r="K60" s="99" t="s">
        <v>210</v>
      </c>
      <c r="L60" s="104">
        <v>41397</v>
      </c>
      <c r="M60" s="116" t="s">
        <v>346</v>
      </c>
      <c r="N60" s="100">
        <f t="shared" si="2"/>
        <v>41761.98</v>
      </c>
      <c r="O60" s="102"/>
    </row>
    <row r="61" spans="1:15">
      <c r="A61" s="98" t="s">
        <v>366</v>
      </c>
      <c r="B61" s="98" t="s">
        <v>367</v>
      </c>
      <c r="C61" s="98" t="s">
        <v>342</v>
      </c>
      <c r="D61" s="98" t="s">
        <v>368</v>
      </c>
      <c r="E61" s="115" t="s">
        <v>331</v>
      </c>
      <c r="F61" s="98"/>
      <c r="G61" s="614" t="s">
        <v>369</v>
      </c>
      <c r="H61" s="115" t="s">
        <v>215</v>
      </c>
      <c r="I61" s="115"/>
      <c r="J61" s="99"/>
      <c r="K61" s="99" t="s">
        <v>210</v>
      </c>
      <c r="L61" s="102"/>
      <c r="M61" s="119"/>
      <c r="N61" s="100"/>
      <c r="O61" s="102"/>
    </row>
    <row r="62" spans="1:15">
      <c r="A62" s="98" t="s">
        <v>370</v>
      </c>
      <c r="B62" s="98" t="s">
        <v>371</v>
      </c>
      <c r="C62" s="98" t="s">
        <v>342</v>
      </c>
      <c r="D62" s="98" t="s">
        <v>214</v>
      </c>
      <c r="E62" s="115"/>
      <c r="F62" s="98"/>
      <c r="G62" s="614" t="s">
        <v>369</v>
      </c>
      <c r="H62" s="115" t="s">
        <v>215</v>
      </c>
      <c r="I62" s="115"/>
      <c r="J62" s="99"/>
      <c r="K62" s="99" t="s">
        <v>210</v>
      </c>
      <c r="L62" s="102"/>
      <c r="M62" s="119"/>
      <c r="N62" s="100"/>
      <c r="O62" s="102"/>
    </row>
    <row r="63" spans="1:15">
      <c r="A63" s="98" t="s">
        <v>372</v>
      </c>
      <c r="B63" s="98" t="s">
        <v>373</v>
      </c>
      <c r="C63" s="98" t="s">
        <v>342</v>
      </c>
      <c r="D63" s="98" t="s">
        <v>374</v>
      </c>
      <c r="E63" s="115"/>
      <c r="F63" s="98"/>
      <c r="G63" s="99"/>
      <c r="H63" s="115" t="s">
        <v>215</v>
      </c>
      <c r="I63" s="115" t="s">
        <v>209</v>
      </c>
      <c r="J63" s="99">
        <v>12</v>
      </c>
      <c r="K63" s="99" t="s">
        <v>210</v>
      </c>
      <c r="L63" s="102"/>
      <c r="M63" s="119"/>
      <c r="N63" s="100"/>
      <c r="O63" s="102"/>
    </row>
    <row r="64" spans="1:15">
      <c r="A64" s="98" t="s">
        <v>375</v>
      </c>
      <c r="B64" s="98" t="s">
        <v>376</v>
      </c>
      <c r="C64" s="98" t="s">
        <v>342</v>
      </c>
      <c r="D64" s="98" t="s">
        <v>377</v>
      </c>
      <c r="E64" s="115"/>
      <c r="F64" s="98"/>
      <c r="G64" s="614" t="s">
        <v>369</v>
      </c>
      <c r="H64" s="115" t="s">
        <v>208</v>
      </c>
      <c r="I64" s="115"/>
      <c r="J64" s="99">
        <v>12</v>
      </c>
      <c r="K64" s="99" t="s">
        <v>210</v>
      </c>
      <c r="L64" s="104">
        <v>41396</v>
      </c>
      <c r="M64" s="119"/>
      <c r="N64" s="100">
        <f t="shared" ref="N64:N66" si="3">L64+(J64*7*4.345)</f>
        <v>41760.98</v>
      </c>
      <c r="O64" s="102"/>
    </row>
    <row r="65" spans="1:15">
      <c r="A65" s="98" t="s">
        <v>378</v>
      </c>
      <c r="B65" s="98" t="s">
        <v>379</v>
      </c>
      <c r="C65" s="98" t="s">
        <v>342</v>
      </c>
      <c r="D65" s="98" t="s">
        <v>380</v>
      </c>
      <c r="E65" s="115"/>
      <c r="F65" s="98"/>
      <c r="G65" s="614" t="s">
        <v>369</v>
      </c>
      <c r="H65" s="115" t="s">
        <v>208</v>
      </c>
      <c r="I65" s="115"/>
      <c r="J65" s="99">
        <v>12</v>
      </c>
      <c r="K65" s="99" t="s">
        <v>210</v>
      </c>
      <c r="L65" s="104">
        <v>41397</v>
      </c>
      <c r="M65" s="119" t="s">
        <v>346</v>
      </c>
      <c r="N65" s="100">
        <f t="shared" si="3"/>
        <v>41761.98</v>
      </c>
      <c r="O65" s="102"/>
    </row>
    <row r="66" spans="1:15">
      <c r="A66" s="98" t="s">
        <v>381</v>
      </c>
      <c r="B66" s="98" t="s">
        <v>382</v>
      </c>
      <c r="C66" s="98" t="s">
        <v>342</v>
      </c>
      <c r="D66" s="98" t="s">
        <v>383</v>
      </c>
      <c r="E66" s="115"/>
      <c r="F66" s="98"/>
      <c r="G66" s="614" t="s">
        <v>369</v>
      </c>
      <c r="H66" s="115" t="s">
        <v>208</v>
      </c>
      <c r="I66" s="115"/>
      <c r="J66" s="99">
        <v>12</v>
      </c>
      <c r="K66" s="99" t="s">
        <v>210</v>
      </c>
      <c r="L66" s="104">
        <v>41398</v>
      </c>
      <c r="M66" s="119" t="s">
        <v>346</v>
      </c>
      <c r="N66" s="100">
        <f t="shared" si="3"/>
        <v>41762.98</v>
      </c>
      <c r="O66" s="102"/>
    </row>
    <row r="67" spans="1:15">
      <c r="A67" s="98" t="s">
        <v>384</v>
      </c>
      <c r="B67" s="98" t="s">
        <v>385</v>
      </c>
      <c r="C67" s="98" t="s">
        <v>342</v>
      </c>
      <c r="D67" s="98" t="s">
        <v>386</v>
      </c>
      <c r="E67" s="115"/>
      <c r="F67" s="98"/>
      <c r="G67" s="118" t="s">
        <v>387</v>
      </c>
      <c r="H67" s="115" t="s">
        <v>208</v>
      </c>
      <c r="I67" s="115"/>
      <c r="J67" s="99">
        <v>12</v>
      </c>
      <c r="K67" s="99" t="s">
        <v>335</v>
      </c>
      <c r="L67" s="104"/>
      <c r="M67" s="119"/>
      <c r="N67" s="100"/>
      <c r="O67" s="102"/>
    </row>
    <row r="68" spans="1:15">
      <c r="A68" s="98" t="s">
        <v>388</v>
      </c>
      <c r="B68" s="98" t="s">
        <v>389</v>
      </c>
      <c r="C68" s="98" t="s">
        <v>342</v>
      </c>
      <c r="D68" s="98" t="s">
        <v>386</v>
      </c>
      <c r="E68" s="115" t="s">
        <v>331</v>
      </c>
      <c r="F68" s="98"/>
      <c r="G68" s="118" t="s">
        <v>387</v>
      </c>
      <c r="H68" s="115" t="s">
        <v>208</v>
      </c>
      <c r="I68" s="115" t="s">
        <v>209</v>
      </c>
      <c r="J68" s="99">
        <v>12</v>
      </c>
      <c r="K68" s="99" t="s">
        <v>335</v>
      </c>
      <c r="L68" s="104"/>
      <c r="M68" s="119"/>
      <c r="N68" s="100"/>
      <c r="O68" s="102"/>
    </row>
    <row r="69" spans="1:15">
      <c r="A69" s="98" t="s">
        <v>390</v>
      </c>
      <c r="B69" s="98" t="s">
        <v>391</v>
      </c>
      <c r="C69" s="98" t="s">
        <v>342</v>
      </c>
      <c r="D69" s="98" t="s">
        <v>386</v>
      </c>
      <c r="E69" s="115" t="s">
        <v>331</v>
      </c>
      <c r="F69" s="98"/>
      <c r="G69" s="118" t="s">
        <v>387</v>
      </c>
      <c r="H69" s="115" t="s">
        <v>208</v>
      </c>
      <c r="I69" s="115" t="s">
        <v>209</v>
      </c>
      <c r="J69" s="99">
        <v>12</v>
      </c>
      <c r="K69" s="99" t="s">
        <v>335</v>
      </c>
      <c r="L69" s="104"/>
      <c r="M69" s="119"/>
      <c r="N69" s="100"/>
      <c r="O69" s="102"/>
    </row>
    <row r="70" spans="1:15">
      <c r="A70" s="98" t="s">
        <v>392</v>
      </c>
      <c r="B70" s="98" t="s">
        <v>393</v>
      </c>
      <c r="C70" s="98" t="s">
        <v>342</v>
      </c>
      <c r="D70" s="98" t="s">
        <v>386</v>
      </c>
      <c r="E70" s="115" t="s">
        <v>331</v>
      </c>
      <c r="F70" s="98"/>
      <c r="G70" s="118" t="s">
        <v>387</v>
      </c>
      <c r="H70" s="115" t="s">
        <v>208</v>
      </c>
      <c r="I70" s="115" t="s">
        <v>209</v>
      </c>
      <c r="J70" s="99">
        <v>12</v>
      </c>
      <c r="K70" s="99" t="s">
        <v>335</v>
      </c>
      <c r="L70" s="104"/>
      <c r="M70" s="119"/>
      <c r="N70" s="100"/>
      <c r="O70" s="102"/>
    </row>
    <row r="71" spans="1:15">
      <c r="A71" s="98" t="s">
        <v>394</v>
      </c>
      <c r="B71" s="98" t="s">
        <v>395</v>
      </c>
      <c r="C71" s="98" t="s">
        <v>342</v>
      </c>
      <c r="D71" s="98" t="s">
        <v>386</v>
      </c>
      <c r="E71" s="115" t="s">
        <v>331</v>
      </c>
      <c r="F71" s="98"/>
      <c r="G71" s="118" t="s">
        <v>387</v>
      </c>
      <c r="H71" s="115" t="s">
        <v>208</v>
      </c>
      <c r="I71" s="115" t="s">
        <v>209</v>
      </c>
      <c r="J71" s="99">
        <v>12</v>
      </c>
      <c r="K71" s="99" t="s">
        <v>335</v>
      </c>
      <c r="L71" s="104"/>
      <c r="M71" s="119"/>
      <c r="N71" s="100"/>
      <c r="O71" s="102"/>
    </row>
    <row r="72" spans="1:15">
      <c r="A72" s="98" t="s">
        <v>396</v>
      </c>
      <c r="B72" s="98" t="s">
        <v>397</v>
      </c>
      <c r="C72" s="98" t="s">
        <v>342</v>
      </c>
      <c r="D72" s="98" t="s">
        <v>386</v>
      </c>
      <c r="E72" s="115" t="s">
        <v>331</v>
      </c>
      <c r="F72" s="98"/>
      <c r="G72" s="118" t="s">
        <v>387</v>
      </c>
      <c r="H72" s="115" t="s">
        <v>208</v>
      </c>
      <c r="I72" s="115" t="s">
        <v>209</v>
      </c>
      <c r="J72" s="99">
        <v>12</v>
      </c>
      <c r="K72" s="99" t="s">
        <v>335</v>
      </c>
      <c r="L72" s="104"/>
      <c r="M72" s="119"/>
      <c r="N72" s="100"/>
      <c r="O72" s="102"/>
    </row>
    <row r="73" spans="1:15">
      <c r="A73" s="98" t="s">
        <v>398</v>
      </c>
      <c r="B73" s="98" t="s">
        <v>399</v>
      </c>
      <c r="C73" s="98" t="s">
        <v>342</v>
      </c>
      <c r="D73" s="98" t="s">
        <v>400</v>
      </c>
      <c r="E73" s="115"/>
      <c r="F73" s="98"/>
      <c r="G73" s="118"/>
      <c r="H73" s="115" t="s">
        <v>215</v>
      </c>
      <c r="I73" s="115"/>
      <c r="J73" s="99"/>
      <c r="K73" s="99" t="s">
        <v>210</v>
      </c>
      <c r="L73" s="104"/>
      <c r="M73" s="119"/>
      <c r="N73" s="100"/>
      <c r="O73" s="102"/>
    </row>
    <row r="74" spans="1:15">
      <c r="A74" s="98" t="s">
        <v>401</v>
      </c>
      <c r="B74" s="98"/>
      <c r="C74" s="98" t="s">
        <v>342</v>
      </c>
      <c r="D74" s="98" t="s">
        <v>377</v>
      </c>
      <c r="E74" s="115" t="s">
        <v>331</v>
      </c>
      <c r="F74" s="98"/>
      <c r="G74" s="118" t="s">
        <v>387</v>
      </c>
      <c r="H74" s="115" t="s">
        <v>208</v>
      </c>
      <c r="I74" s="115" t="s">
        <v>209</v>
      </c>
      <c r="J74" s="99">
        <v>12</v>
      </c>
      <c r="K74" s="99" t="s">
        <v>210</v>
      </c>
      <c r="L74" s="104">
        <v>41396</v>
      </c>
      <c r="M74" s="119"/>
      <c r="N74" s="100">
        <f t="shared" ref="N74:N84" si="4">L74+(J74*7*4.345)</f>
        <v>41760.98</v>
      </c>
      <c r="O74" s="102" t="s">
        <v>307</v>
      </c>
    </row>
    <row r="75" spans="1:15">
      <c r="A75" s="98" t="s">
        <v>402</v>
      </c>
      <c r="B75" s="98"/>
      <c r="C75" s="98" t="s">
        <v>342</v>
      </c>
      <c r="D75" s="98" t="s">
        <v>377</v>
      </c>
      <c r="E75" s="115" t="s">
        <v>331</v>
      </c>
      <c r="F75" s="98"/>
      <c r="G75" s="118" t="s">
        <v>387</v>
      </c>
      <c r="H75" s="115" t="s">
        <v>208</v>
      </c>
      <c r="I75" s="115" t="s">
        <v>209</v>
      </c>
      <c r="J75" s="99">
        <v>12</v>
      </c>
      <c r="K75" s="99" t="s">
        <v>210</v>
      </c>
      <c r="L75" s="104">
        <v>41396</v>
      </c>
      <c r="M75" s="119"/>
      <c r="N75" s="100">
        <f t="shared" si="4"/>
        <v>41760.98</v>
      </c>
      <c r="O75" s="102" t="s">
        <v>307</v>
      </c>
    </row>
    <row r="76" spans="1:15">
      <c r="A76" s="98" t="s">
        <v>403</v>
      </c>
      <c r="B76" s="98"/>
      <c r="C76" s="98" t="s">
        <v>342</v>
      </c>
      <c r="D76" s="98" t="s">
        <v>377</v>
      </c>
      <c r="E76" s="115" t="s">
        <v>331</v>
      </c>
      <c r="F76" s="98"/>
      <c r="G76" s="118" t="s">
        <v>387</v>
      </c>
      <c r="H76" s="115" t="s">
        <v>208</v>
      </c>
      <c r="I76" s="115" t="s">
        <v>209</v>
      </c>
      <c r="J76" s="99">
        <v>12</v>
      </c>
      <c r="K76" s="99" t="s">
        <v>210</v>
      </c>
      <c r="L76" s="104">
        <v>41396</v>
      </c>
      <c r="M76" s="119"/>
      <c r="N76" s="100">
        <f t="shared" si="4"/>
        <v>41760.98</v>
      </c>
      <c r="O76" s="102" t="s">
        <v>307</v>
      </c>
    </row>
    <row r="77" spans="1:15">
      <c r="A77" s="98" t="s">
        <v>404</v>
      </c>
      <c r="B77" s="98"/>
      <c r="C77" s="98" t="s">
        <v>342</v>
      </c>
      <c r="D77" s="98" t="s">
        <v>377</v>
      </c>
      <c r="E77" s="115" t="s">
        <v>331</v>
      </c>
      <c r="F77" s="98"/>
      <c r="G77" s="118" t="s">
        <v>387</v>
      </c>
      <c r="H77" s="115" t="s">
        <v>208</v>
      </c>
      <c r="I77" s="115" t="s">
        <v>209</v>
      </c>
      <c r="J77" s="99">
        <v>12</v>
      </c>
      <c r="K77" s="99" t="s">
        <v>210</v>
      </c>
      <c r="L77" s="104">
        <v>41396</v>
      </c>
      <c r="M77" s="119"/>
      <c r="N77" s="100">
        <f t="shared" si="4"/>
        <v>41760.98</v>
      </c>
      <c r="O77" s="102" t="s">
        <v>307</v>
      </c>
    </row>
    <row r="78" spans="1:15">
      <c r="A78" s="98" t="s">
        <v>405</v>
      </c>
      <c r="B78" s="98"/>
      <c r="C78" s="98" t="s">
        <v>342</v>
      </c>
      <c r="D78" s="98" t="s">
        <v>377</v>
      </c>
      <c r="E78" s="115" t="s">
        <v>331</v>
      </c>
      <c r="F78" s="98"/>
      <c r="G78" s="118" t="s">
        <v>387</v>
      </c>
      <c r="H78" s="115" t="s">
        <v>208</v>
      </c>
      <c r="I78" s="115" t="s">
        <v>209</v>
      </c>
      <c r="J78" s="99">
        <v>12</v>
      </c>
      <c r="K78" s="99" t="s">
        <v>210</v>
      </c>
      <c r="L78" s="104">
        <v>41396</v>
      </c>
      <c r="M78" s="119"/>
      <c r="N78" s="100">
        <f t="shared" si="4"/>
        <v>41760.98</v>
      </c>
      <c r="O78" s="102" t="s">
        <v>307</v>
      </c>
    </row>
    <row r="79" spans="1:15">
      <c r="A79" s="98" t="s">
        <v>406</v>
      </c>
      <c r="B79" s="98"/>
      <c r="C79" s="98" t="s">
        <v>342</v>
      </c>
      <c r="D79" s="98" t="s">
        <v>377</v>
      </c>
      <c r="E79" s="115" t="s">
        <v>331</v>
      </c>
      <c r="F79" s="98"/>
      <c r="G79" s="118" t="s">
        <v>387</v>
      </c>
      <c r="H79" s="115" t="s">
        <v>208</v>
      </c>
      <c r="I79" s="115" t="s">
        <v>209</v>
      </c>
      <c r="J79" s="99">
        <v>12</v>
      </c>
      <c r="K79" s="99" t="s">
        <v>210</v>
      </c>
      <c r="L79" s="104">
        <v>41396</v>
      </c>
      <c r="M79" s="119"/>
      <c r="N79" s="100">
        <f t="shared" si="4"/>
        <v>41760.98</v>
      </c>
      <c r="O79" s="102" t="s">
        <v>307</v>
      </c>
    </row>
    <row r="80" spans="1:15">
      <c r="A80" s="98" t="s">
        <v>407</v>
      </c>
      <c r="B80" s="98"/>
      <c r="C80" s="98" t="s">
        <v>342</v>
      </c>
      <c r="D80" s="98" t="s">
        <v>377</v>
      </c>
      <c r="E80" s="115" t="s">
        <v>331</v>
      </c>
      <c r="F80" s="98"/>
      <c r="G80" s="118" t="s">
        <v>387</v>
      </c>
      <c r="H80" s="115" t="s">
        <v>208</v>
      </c>
      <c r="I80" s="115" t="s">
        <v>209</v>
      </c>
      <c r="J80" s="99">
        <v>12</v>
      </c>
      <c r="K80" s="99" t="s">
        <v>210</v>
      </c>
      <c r="L80" s="104">
        <v>41396</v>
      </c>
      <c r="M80" s="119"/>
      <c r="N80" s="100">
        <f t="shared" si="4"/>
        <v>41760.98</v>
      </c>
      <c r="O80" s="102" t="s">
        <v>307</v>
      </c>
    </row>
    <row r="81" spans="1:15">
      <c r="A81" s="98" t="s">
        <v>408</v>
      </c>
      <c r="B81" s="98"/>
      <c r="C81" s="98" t="s">
        <v>342</v>
      </c>
      <c r="D81" s="98" t="s">
        <v>377</v>
      </c>
      <c r="E81" s="115" t="s">
        <v>331</v>
      </c>
      <c r="F81" s="98"/>
      <c r="G81" s="118" t="s">
        <v>387</v>
      </c>
      <c r="H81" s="115" t="s">
        <v>208</v>
      </c>
      <c r="I81" s="115" t="s">
        <v>209</v>
      </c>
      <c r="J81" s="99">
        <v>12</v>
      </c>
      <c r="K81" s="99" t="s">
        <v>210</v>
      </c>
      <c r="L81" s="104">
        <v>41396</v>
      </c>
      <c r="M81" s="119"/>
      <c r="N81" s="100">
        <f t="shared" si="4"/>
        <v>41760.98</v>
      </c>
      <c r="O81" s="102" t="s">
        <v>307</v>
      </c>
    </row>
    <row r="82" spans="1:15">
      <c r="A82" s="98" t="s">
        <v>409</v>
      </c>
      <c r="B82" s="98"/>
      <c r="C82" s="98" t="s">
        <v>342</v>
      </c>
      <c r="D82" s="98" t="s">
        <v>377</v>
      </c>
      <c r="E82" s="115" t="s">
        <v>331</v>
      </c>
      <c r="F82" s="98"/>
      <c r="G82" s="118" t="s">
        <v>387</v>
      </c>
      <c r="H82" s="115" t="s">
        <v>208</v>
      </c>
      <c r="I82" s="115" t="s">
        <v>209</v>
      </c>
      <c r="J82" s="99">
        <v>12</v>
      </c>
      <c r="K82" s="99" t="s">
        <v>210</v>
      </c>
      <c r="L82" s="104">
        <v>41396</v>
      </c>
      <c r="M82" s="119"/>
      <c r="N82" s="100">
        <f t="shared" si="4"/>
        <v>41760.98</v>
      </c>
      <c r="O82" s="102" t="s">
        <v>307</v>
      </c>
    </row>
    <row r="83" spans="1:15">
      <c r="A83" s="98" t="s">
        <v>410</v>
      </c>
      <c r="B83" s="98"/>
      <c r="C83" s="98" t="s">
        <v>342</v>
      </c>
      <c r="D83" s="98" t="s">
        <v>377</v>
      </c>
      <c r="E83" s="115" t="s">
        <v>331</v>
      </c>
      <c r="F83" s="98"/>
      <c r="G83" s="118" t="s">
        <v>387</v>
      </c>
      <c r="H83" s="115" t="s">
        <v>208</v>
      </c>
      <c r="I83" s="115" t="s">
        <v>209</v>
      </c>
      <c r="J83" s="99">
        <v>12</v>
      </c>
      <c r="K83" s="99" t="s">
        <v>210</v>
      </c>
      <c r="L83" s="104">
        <v>41396</v>
      </c>
      <c r="M83" s="119"/>
      <c r="N83" s="100">
        <f t="shared" si="4"/>
        <v>41760.98</v>
      </c>
      <c r="O83" s="102" t="s">
        <v>307</v>
      </c>
    </row>
    <row r="84" spans="1:15">
      <c r="A84" s="98" t="s">
        <v>411</v>
      </c>
      <c r="B84" s="98"/>
      <c r="C84" s="98" t="s">
        <v>342</v>
      </c>
      <c r="D84" s="98" t="s">
        <v>377</v>
      </c>
      <c r="E84" s="115" t="s">
        <v>331</v>
      </c>
      <c r="F84" s="98"/>
      <c r="G84" s="118" t="s">
        <v>387</v>
      </c>
      <c r="H84" s="115" t="s">
        <v>208</v>
      </c>
      <c r="I84" s="115" t="s">
        <v>209</v>
      </c>
      <c r="J84" s="99">
        <v>12</v>
      </c>
      <c r="K84" s="99" t="s">
        <v>210</v>
      </c>
      <c r="L84" s="104">
        <v>41396</v>
      </c>
      <c r="M84" s="119"/>
      <c r="N84" s="100">
        <f t="shared" si="4"/>
        <v>41760.98</v>
      </c>
      <c r="O84" s="102" t="s">
        <v>307</v>
      </c>
    </row>
    <row r="85" spans="1:15">
      <c r="A85" s="98" t="s">
        <v>412</v>
      </c>
      <c r="B85" s="98"/>
      <c r="C85" s="98" t="s">
        <v>342</v>
      </c>
      <c r="D85" s="98" t="s">
        <v>377</v>
      </c>
      <c r="E85" s="115" t="s">
        <v>331</v>
      </c>
      <c r="F85" s="98"/>
      <c r="G85" s="118" t="s">
        <v>387</v>
      </c>
      <c r="H85" s="115" t="s">
        <v>208</v>
      </c>
      <c r="I85" s="115" t="s">
        <v>209</v>
      </c>
      <c r="J85" s="99">
        <v>12</v>
      </c>
      <c r="K85" s="99" t="s">
        <v>335</v>
      </c>
      <c r="L85" s="104"/>
      <c r="M85" s="119"/>
      <c r="N85" s="100"/>
      <c r="O85" s="102" t="s">
        <v>307</v>
      </c>
    </row>
    <row r="86" spans="1:15">
      <c r="A86" s="98" t="s">
        <v>413</v>
      </c>
      <c r="B86" s="98"/>
      <c r="C86" s="98" t="s">
        <v>342</v>
      </c>
      <c r="D86" s="98" t="s">
        <v>377</v>
      </c>
      <c r="E86" s="115" t="s">
        <v>414</v>
      </c>
      <c r="F86" s="98"/>
      <c r="G86" s="118" t="s">
        <v>387</v>
      </c>
      <c r="H86" s="115" t="s">
        <v>208</v>
      </c>
      <c r="I86" s="115" t="s">
        <v>209</v>
      </c>
      <c r="J86" s="99">
        <v>12</v>
      </c>
      <c r="K86" s="99" t="s">
        <v>335</v>
      </c>
      <c r="L86" s="104"/>
      <c r="M86" s="119"/>
      <c r="N86" s="100"/>
      <c r="O86" s="102" t="s">
        <v>307</v>
      </c>
    </row>
    <row r="87" spans="1:15">
      <c r="A87" s="98" t="s">
        <v>415</v>
      </c>
      <c r="B87" s="98"/>
      <c r="C87" s="98" t="s">
        <v>342</v>
      </c>
      <c r="D87" s="98" t="s">
        <v>377</v>
      </c>
      <c r="E87" s="115" t="s">
        <v>414</v>
      </c>
      <c r="F87" s="98"/>
      <c r="G87" s="118" t="s">
        <v>387</v>
      </c>
      <c r="H87" s="115" t="s">
        <v>208</v>
      </c>
      <c r="I87" s="115" t="s">
        <v>209</v>
      </c>
      <c r="J87" s="99">
        <v>12</v>
      </c>
      <c r="K87" s="99" t="s">
        <v>335</v>
      </c>
      <c r="L87" s="104"/>
      <c r="M87" s="119"/>
      <c r="N87" s="100"/>
      <c r="O87" s="102" t="s">
        <v>307</v>
      </c>
    </row>
    <row r="88" spans="1:15">
      <c r="A88" s="98" t="s">
        <v>416</v>
      </c>
      <c r="B88" s="98"/>
      <c r="C88" s="98" t="s">
        <v>342</v>
      </c>
      <c r="D88" s="98" t="s">
        <v>377</v>
      </c>
      <c r="E88" s="115" t="s">
        <v>414</v>
      </c>
      <c r="F88" s="98"/>
      <c r="G88" s="118" t="s">
        <v>387</v>
      </c>
      <c r="H88" s="115" t="s">
        <v>208</v>
      </c>
      <c r="I88" s="115" t="s">
        <v>209</v>
      </c>
      <c r="J88" s="99">
        <v>12</v>
      </c>
      <c r="K88" s="99" t="s">
        <v>335</v>
      </c>
      <c r="L88" s="104"/>
      <c r="M88" s="119"/>
      <c r="N88" s="100"/>
      <c r="O88" s="102" t="s">
        <v>307</v>
      </c>
    </row>
    <row r="89" spans="1:15">
      <c r="A89" s="98" t="s">
        <v>417</v>
      </c>
      <c r="B89" s="98"/>
      <c r="C89" s="98" t="s">
        <v>342</v>
      </c>
      <c r="D89" s="98" t="s">
        <v>377</v>
      </c>
      <c r="E89" s="115" t="s">
        <v>414</v>
      </c>
      <c r="F89" s="98"/>
      <c r="G89" s="118" t="s">
        <v>387</v>
      </c>
      <c r="H89" s="115" t="s">
        <v>208</v>
      </c>
      <c r="I89" s="115" t="s">
        <v>209</v>
      </c>
      <c r="J89" s="99">
        <v>12</v>
      </c>
      <c r="K89" s="99" t="s">
        <v>335</v>
      </c>
      <c r="L89" s="104"/>
      <c r="M89" s="119"/>
      <c r="N89" s="100"/>
      <c r="O89" s="102" t="s">
        <v>307</v>
      </c>
    </row>
    <row r="90" spans="1:15">
      <c r="A90" s="98" t="s">
        <v>418</v>
      </c>
      <c r="B90" s="98"/>
      <c r="C90" s="98" t="s">
        <v>342</v>
      </c>
      <c r="D90" s="98" t="s">
        <v>377</v>
      </c>
      <c r="E90" s="115" t="s">
        <v>414</v>
      </c>
      <c r="F90" s="98"/>
      <c r="G90" s="118" t="s">
        <v>387</v>
      </c>
      <c r="H90" s="115" t="s">
        <v>208</v>
      </c>
      <c r="I90" s="115" t="s">
        <v>209</v>
      </c>
      <c r="J90" s="99">
        <v>12</v>
      </c>
      <c r="K90" s="99" t="s">
        <v>335</v>
      </c>
      <c r="L90" s="104"/>
      <c r="M90" s="119"/>
      <c r="N90" s="100"/>
      <c r="O90" s="102" t="s">
        <v>307</v>
      </c>
    </row>
    <row r="91" spans="1:15">
      <c r="A91" s="98" t="s">
        <v>419</v>
      </c>
      <c r="B91" s="98"/>
      <c r="C91" s="98" t="s">
        <v>342</v>
      </c>
      <c r="D91" s="98" t="s">
        <v>377</v>
      </c>
      <c r="E91" s="115" t="s">
        <v>414</v>
      </c>
      <c r="F91" s="98"/>
      <c r="G91" s="118" t="s">
        <v>387</v>
      </c>
      <c r="H91" s="115" t="s">
        <v>208</v>
      </c>
      <c r="I91" s="115" t="s">
        <v>209</v>
      </c>
      <c r="J91" s="99">
        <v>12</v>
      </c>
      <c r="K91" s="99" t="s">
        <v>335</v>
      </c>
      <c r="L91" s="104"/>
      <c r="M91" s="119"/>
      <c r="N91" s="100"/>
      <c r="O91" s="102" t="s">
        <v>307</v>
      </c>
    </row>
    <row r="92" spans="1:15">
      <c r="A92" s="98" t="s">
        <v>420</v>
      </c>
      <c r="B92" s="98"/>
      <c r="C92" s="98" t="s">
        <v>342</v>
      </c>
      <c r="D92" s="98" t="s">
        <v>377</v>
      </c>
      <c r="E92" s="115" t="s">
        <v>414</v>
      </c>
      <c r="F92" s="98"/>
      <c r="G92" s="118" t="s">
        <v>387</v>
      </c>
      <c r="H92" s="115" t="s">
        <v>208</v>
      </c>
      <c r="I92" s="115" t="s">
        <v>209</v>
      </c>
      <c r="J92" s="99">
        <v>12</v>
      </c>
      <c r="K92" s="99" t="s">
        <v>335</v>
      </c>
      <c r="L92" s="104"/>
      <c r="M92" s="119"/>
      <c r="N92" s="100"/>
      <c r="O92" s="102" t="s">
        <v>307</v>
      </c>
    </row>
    <row r="93" spans="1:15">
      <c r="A93" s="98" t="s">
        <v>421</v>
      </c>
      <c r="B93" s="98"/>
      <c r="C93" s="98" t="s">
        <v>342</v>
      </c>
      <c r="D93" s="98" t="s">
        <v>377</v>
      </c>
      <c r="E93" s="115" t="s">
        <v>414</v>
      </c>
      <c r="F93" s="98"/>
      <c r="G93" s="118" t="s">
        <v>387</v>
      </c>
      <c r="H93" s="115" t="s">
        <v>208</v>
      </c>
      <c r="I93" s="115" t="s">
        <v>209</v>
      </c>
      <c r="J93" s="99">
        <v>12</v>
      </c>
      <c r="K93" s="99" t="s">
        <v>335</v>
      </c>
      <c r="L93" s="104"/>
      <c r="M93" s="119"/>
      <c r="N93" s="100"/>
      <c r="O93" s="102" t="s">
        <v>307</v>
      </c>
    </row>
    <row r="94" spans="1:15">
      <c r="A94" s="98" t="s">
        <v>422</v>
      </c>
      <c r="B94" s="98"/>
      <c r="C94" s="98" t="s">
        <v>342</v>
      </c>
      <c r="D94" s="98" t="s">
        <v>377</v>
      </c>
      <c r="E94" s="115" t="s">
        <v>414</v>
      </c>
      <c r="F94" s="98"/>
      <c r="G94" s="118" t="s">
        <v>387</v>
      </c>
      <c r="H94" s="115" t="s">
        <v>208</v>
      </c>
      <c r="I94" s="115" t="s">
        <v>209</v>
      </c>
      <c r="J94" s="99">
        <v>12</v>
      </c>
      <c r="K94" s="99" t="s">
        <v>335</v>
      </c>
      <c r="L94" s="104"/>
      <c r="M94" s="119"/>
      <c r="N94" s="100"/>
      <c r="O94" s="102" t="s">
        <v>307</v>
      </c>
    </row>
    <row r="95" spans="1:15">
      <c r="A95" s="98" t="s">
        <v>423</v>
      </c>
      <c r="B95" s="98"/>
      <c r="C95" s="98" t="s">
        <v>342</v>
      </c>
      <c r="D95" s="98" t="s">
        <v>377</v>
      </c>
      <c r="E95" s="115" t="s">
        <v>414</v>
      </c>
      <c r="F95" s="98"/>
      <c r="G95" s="118" t="s">
        <v>387</v>
      </c>
      <c r="H95" s="115" t="s">
        <v>208</v>
      </c>
      <c r="I95" s="115" t="s">
        <v>209</v>
      </c>
      <c r="J95" s="99">
        <v>12</v>
      </c>
      <c r="K95" s="99" t="s">
        <v>335</v>
      </c>
      <c r="L95" s="104"/>
      <c r="M95" s="119"/>
      <c r="N95" s="100"/>
      <c r="O95" s="102" t="s">
        <v>307</v>
      </c>
    </row>
    <row r="96" spans="1:15">
      <c r="A96" s="98" t="s">
        <v>424</v>
      </c>
      <c r="B96" s="98"/>
      <c r="C96" s="98" t="s">
        <v>342</v>
      </c>
      <c r="D96" s="98" t="s">
        <v>377</v>
      </c>
      <c r="E96" s="115" t="s">
        <v>414</v>
      </c>
      <c r="F96" s="98"/>
      <c r="G96" s="118" t="s">
        <v>387</v>
      </c>
      <c r="H96" s="115" t="s">
        <v>208</v>
      </c>
      <c r="I96" s="115" t="s">
        <v>209</v>
      </c>
      <c r="J96" s="99">
        <v>12</v>
      </c>
      <c r="K96" s="99" t="s">
        <v>335</v>
      </c>
      <c r="L96" s="104"/>
      <c r="M96" s="119"/>
      <c r="N96" s="100"/>
      <c r="O96" s="102" t="s">
        <v>307</v>
      </c>
    </row>
    <row r="97" spans="1:15">
      <c r="A97" s="98" t="s">
        <v>425</v>
      </c>
      <c r="B97" s="98"/>
      <c r="C97" s="98" t="s">
        <v>342</v>
      </c>
      <c r="D97" s="98" t="s">
        <v>377</v>
      </c>
      <c r="E97" s="115" t="s">
        <v>414</v>
      </c>
      <c r="F97" s="98"/>
      <c r="G97" s="118" t="s">
        <v>387</v>
      </c>
      <c r="H97" s="115" t="s">
        <v>208</v>
      </c>
      <c r="I97" s="115" t="s">
        <v>209</v>
      </c>
      <c r="J97" s="99">
        <v>12</v>
      </c>
      <c r="K97" s="99" t="s">
        <v>335</v>
      </c>
      <c r="L97" s="104"/>
      <c r="M97" s="119"/>
      <c r="N97" s="100"/>
      <c r="O97" s="102" t="s">
        <v>307</v>
      </c>
    </row>
    <row r="98" spans="1:15">
      <c r="A98" s="98" t="s">
        <v>426</v>
      </c>
      <c r="B98" s="98"/>
      <c r="C98" s="98" t="s">
        <v>342</v>
      </c>
      <c r="D98" s="98" t="s">
        <v>383</v>
      </c>
      <c r="E98" s="115" t="s">
        <v>414</v>
      </c>
      <c r="F98" s="98"/>
      <c r="G98" s="118" t="s">
        <v>427</v>
      </c>
      <c r="H98" s="115" t="s">
        <v>208</v>
      </c>
      <c r="I98" s="115" t="s">
        <v>209</v>
      </c>
      <c r="J98" s="99">
        <v>12</v>
      </c>
      <c r="K98" s="99" t="s">
        <v>335</v>
      </c>
      <c r="L98" s="104">
        <v>41397</v>
      </c>
      <c r="M98" s="119" t="s">
        <v>346</v>
      </c>
      <c r="N98" s="100">
        <f t="shared" ref="N98:N103" si="5">L98+(J98*7*4.345)</f>
        <v>41761.98</v>
      </c>
      <c r="O98" s="102" t="s">
        <v>307</v>
      </c>
    </row>
    <row r="99" spans="1:15">
      <c r="A99" s="98" t="s">
        <v>428</v>
      </c>
      <c r="B99" s="98"/>
      <c r="C99" s="98" t="s">
        <v>342</v>
      </c>
      <c r="D99" s="98" t="s">
        <v>383</v>
      </c>
      <c r="E99" s="115" t="s">
        <v>414</v>
      </c>
      <c r="F99" s="98"/>
      <c r="G99" s="118" t="s">
        <v>427</v>
      </c>
      <c r="H99" s="115" t="s">
        <v>208</v>
      </c>
      <c r="I99" s="115" t="s">
        <v>209</v>
      </c>
      <c r="J99" s="99">
        <v>12</v>
      </c>
      <c r="K99" s="99" t="s">
        <v>335</v>
      </c>
      <c r="L99" s="104">
        <v>41397</v>
      </c>
      <c r="M99" s="119" t="s">
        <v>346</v>
      </c>
      <c r="N99" s="100">
        <f t="shared" si="5"/>
        <v>41761.98</v>
      </c>
      <c r="O99" s="102" t="s">
        <v>307</v>
      </c>
    </row>
    <row r="100" spans="1:15">
      <c r="A100" s="98" t="s">
        <v>429</v>
      </c>
      <c r="B100" s="98"/>
      <c r="C100" s="98" t="s">
        <v>342</v>
      </c>
      <c r="D100" s="98" t="s">
        <v>343</v>
      </c>
      <c r="E100" s="115" t="s">
        <v>414</v>
      </c>
      <c r="F100" s="98"/>
      <c r="G100" s="118" t="s">
        <v>344</v>
      </c>
      <c r="H100" s="115" t="s">
        <v>208</v>
      </c>
      <c r="I100" s="115" t="s">
        <v>209</v>
      </c>
      <c r="J100" s="99">
        <v>12</v>
      </c>
      <c r="K100" s="99" t="s">
        <v>210</v>
      </c>
      <c r="L100" s="104">
        <v>41396</v>
      </c>
      <c r="M100" s="119" t="s">
        <v>346</v>
      </c>
      <c r="N100" s="100">
        <f t="shared" si="5"/>
        <v>41760.98</v>
      </c>
      <c r="O100" s="102" t="s">
        <v>307</v>
      </c>
    </row>
    <row r="101" spans="1:15">
      <c r="A101" s="98" t="s">
        <v>430</v>
      </c>
      <c r="B101" s="98"/>
      <c r="C101" s="98" t="s">
        <v>342</v>
      </c>
      <c r="D101" s="98" t="s">
        <v>343</v>
      </c>
      <c r="E101" s="115" t="s">
        <v>414</v>
      </c>
      <c r="F101" s="98"/>
      <c r="G101" s="118" t="s">
        <v>344</v>
      </c>
      <c r="H101" s="115" t="s">
        <v>208</v>
      </c>
      <c r="I101" s="115" t="s">
        <v>209</v>
      </c>
      <c r="J101" s="99">
        <v>12</v>
      </c>
      <c r="K101" s="99" t="s">
        <v>210</v>
      </c>
      <c r="L101" s="104">
        <v>41396</v>
      </c>
      <c r="M101" s="119" t="s">
        <v>346</v>
      </c>
      <c r="N101" s="100">
        <f t="shared" si="5"/>
        <v>41760.98</v>
      </c>
      <c r="O101" s="102" t="s">
        <v>307</v>
      </c>
    </row>
    <row r="102" spans="1:15">
      <c r="A102" s="98" t="s">
        <v>431</v>
      </c>
      <c r="B102" s="98"/>
      <c r="C102" s="98" t="s">
        <v>342</v>
      </c>
      <c r="D102" s="98" t="s">
        <v>355</v>
      </c>
      <c r="E102" s="115" t="s">
        <v>414</v>
      </c>
      <c r="F102" s="98"/>
      <c r="G102" s="118" t="s">
        <v>356</v>
      </c>
      <c r="H102" s="115" t="s">
        <v>208</v>
      </c>
      <c r="I102" s="115" t="s">
        <v>209</v>
      </c>
      <c r="J102" s="99">
        <v>12</v>
      </c>
      <c r="K102" s="99" t="s">
        <v>210</v>
      </c>
      <c r="L102" s="104">
        <v>41397</v>
      </c>
      <c r="M102" s="119" t="s">
        <v>346</v>
      </c>
      <c r="N102" s="100">
        <f t="shared" si="5"/>
        <v>41761.98</v>
      </c>
      <c r="O102" s="102" t="s">
        <v>307</v>
      </c>
    </row>
    <row r="103" spans="1:15">
      <c r="A103" s="98" t="s">
        <v>432</v>
      </c>
      <c r="B103" s="98"/>
      <c r="C103" s="98" t="s">
        <v>342</v>
      </c>
      <c r="D103" s="98" t="s">
        <v>319</v>
      </c>
      <c r="E103" s="115"/>
      <c r="F103" s="98"/>
      <c r="G103" s="118" t="s">
        <v>365</v>
      </c>
      <c r="H103" s="115" t="s">
        <v>208</v>
      </c>
      <c r="I103" s="115" t="s">
        <v>209</v>
      </c>
      <c r="J103" s="99">
        <v>12</v>
      </c>
      <c r="K103" s="99" t="s">
        <v>210</v>
      </c>
      <c r="L103" s="104">
        <v>41397</v>
      </c>
      <c r="M103" s="119" t="s">
        <v>346</v>
      </c>
      <c r="N103" s="100">
        <f t="shared" si="5"/>
        <v>41761.98</v>
      </c>
      <c r="O103" s="102" t="s">
        <v>307</v>
      </c>
    </row>
    <row r="104" spans="1:15">
      <c r="A104" s="98" t="s">
        <v>433</v>
      </c>
      <c r="B104" s="98"/>
      <c r="C104" s="98" t="s">
        <v>342</v>
      </c>
      <c r="D104" s="98" t="s">
        <v>368</v>
      </c>
      <c r="E104" s="115"/>
      <c r="F104" s="98"/>
      <c r="G104" s="118"/>
      <c r="H104" s="115" t="s">
        <v>215</v>
      </c>
      <c r="I104" s="115"/>
      <c r="J104" s="99"/>
      <c r="K104" s="99" t="s">
        <v>210</v>
      </c>
      <c r="L104" s="104"/>
      <c r="M104" s="119"/>
      <c r="N104" s="100"/>
      <c r="O104" s="102" t="s">
        <v>307</v>
      </c>
    </row>
    <row r="105" spans="1:15">
      <c r="A105" s="98" t="s">
        <v>434</v>
      </c>
      <c r="B105" s="98"/>
      <c r="C105" s="98" t="s">
        <v>342</v>
      </c>
      <c r="D105" s="98" t="s">
        <v>368</v>
      </c>
      <c r="E105" s="115"/>
      <c r="F105" s="98"/>
      <c r="G105" s="118"/>
      <c r="H105" s="115" t="s">
        <v>215</v>
      </c>
      <c r="I105" s="115"/>
      <c r="J105" s="99"/>
      <c r="K105" s="99" t="s">
        <v>210</v>
      </c>
      <c r="L105" s="104"/>
      <c r="M105" s="119"/>
      <c r="N105" s="100"/>
      <c r="O105" s="102" t="s">
        <v>307</v>
      </c>
    </row>
    <row r="106" spans="1:15">
      <c r="A106" s="98" t="s">
        <v>435</v>
      </c>
      <c r="B106" s="120"/>
      <c r="C106" s="98" t="s">
        <v>329</v>
      </c>
      <c r="D106" s="98" t="s">
        <v>436</v>
      </c>
      <c r="E106" s="115"/>
      <c r="F106" s="98"/>
      <c r="G106" s="118"/>
      <c r="H106" s="115" t="s">
        <v>208</v>
      </c>
      <c r="I106" s="115" t="s">
        <v>209</v>
      </c>
      <c r="J106" s="99"/>
      <c r="K106" s="99"/>
      <c r="L106" s="104"/>
      <c r="M106" s="119"/>
      <c r="N106" s="100"/>
      <c r="O106" s="102"/>
    </row>
    <row r="107" spans="1:15">
      <c r="A107" s="98" t="s">
        <v>437</v>
      </c>
      <c r="B107" s="98"/>
      <c r="C107" s="98" t="s">
        <v>329</v>
      </c>
      <c r="D107" s="98" t="s">
        <v>438</v>
      </c>
      <c r="E107" s="115"/>
      <c r="F107" s="98"/>
      <c r="G107" s="118"/>
      <c r="H107" s="115" t="s">
        <v>333</v>
      </c>
      <c r="I107" s="115"/>
      <c r="J107" s="99">
        <v>24</v>
      </c>
      <c r="K107" s="99"/>
      <c r="L107" s="102"/>
      <c r="M107" s="116"/>
      <c r="N107" s="100"/>
      <c r="O107" s="102"/>
    </row>
    <row r="108" spans="1:15">
      <c r="A108" s="98" t="s">
        <v>439</v>
      </c>
      <c r="B108" s="98"/>
      <c r="C108" s="98" t="s">
        <v>329</v>
      </c>
      <c r="D108" s="98" t="s">
        <v>440</v>
      </c>
      <c r="E108" s="115"/>
      <c r="F108" s="98">
        <v>2013</v>
      </c>
      <c r="G108" s="118"/>
      <c r="H108" s="115" t="s">
        <v>208</v>
      </c>
      <c r="I108" s="115" t="s">
        <v>209</v>
      </c>
      <c r="J108" s="99"/>
      <c r="K108" s="99" t="s">
        <v>335</v>
      </c>
      <c r="L108" s="102"/>
      <c r="M108" s="116"/>
      <c r="N108" s="100"/>
      <c r="O108" s="102" t="s">
        <v>307</v>
      </c>
    </row>
    <row r="109" spans="1:15">
      <c r="A109" s="98" t="s">
        <v>441</v>
      </c>
      <c r="B109" s="98"/>
      <c r="C109" s="98" t="s">
        <v>329</v>
      </c>
      <c r="D109" s="98" t="s">
        <v>330</v>
      </c>
      <c r="E109" s="115"/>
      <c r="F109" s="98">
        <v>2013</v>
      </c>
      <c r="G109" s="118"/>
      <c r="H109" s="115" t="s">
        <v>333</v>
      </c>
      <c r="I109" s="115" t="s">
        <v>334</v>
      </c>
      <c r="J109" s="99">
        <v>24</v>
      </c>
      <c r="K109" s="99" t="s">
        <v>210</v>
      </c>
      <c r="L109" s="102"/>
      <c r="M109" s="116"/>
      <c r="N109" s="100"/>
      <c r="O109" s="102" t="s">
        <v>307</v>
      </c>
    </row>
    <row r="110" spans="1:15">
      <c r="A110" s="98" t="s">
        <v>442</v>
      </c>
      <c r="B110" s="98"/>
      <c r="C110" s="98"/>
      <c r="D110" s="98" t="s">
        <v>443</v>
      </c>
      <c r="E110" s="115"/>
      <c r="F110" s="98">
        <v>2013</v>
      </c>
      <c r="G110" s="118"/>
      <c r="H110" s="115" t="s">
        <v>215</v>
      </c>
      <c r="I110" s="115"/>
      <c r="J110" s="99"/>
      <c r="K110" s="99"/>
      <c r="L110" s="102"/>
      <c r="M110" s="116"/>
      <c r="N110" s="100"/>
      <c r="O110" s="102" t="s">
        <v>307</v>
      </c>
    </row>
    <row r="111" spans="1:15">
      <c r="A111" s="98" t="s">
        <v>444</v>
      </c>
      <c r="B111" s="98"/>
      <c r="C111" s="98"/>
      <c r="D111" s="98" t="s">
        <v>443</v>
      </c>
      <c r="E111" s="115"/>
      <c r="F111" s="98">
        <v>2013</v>
      </c>
      <c r="G111" s="118"/>
      <c r="H111" s="115" t="s">
        <v>215</v>
      </c>
      <c r="I111" s="115"/>
      <c r="J111" s="99"/>
      <c r="K111" s="99"/>
      <c r="L111" s="102"/>
      <c r="M111" s="116"/>
      <c r="N111" s="100"/>
      <c r="O111" s="102" t="s">
        <v>307</v>
      </c>
    </row>
    <row r="112" spans="1:15">
      <c r="A112" s="121" t="s">
        <v>445</v>
      </c>
      <c r="B112" s="122"/>
      <c r="C112" s="123"/>
      <c r="D112" s="98" t="s">
        <v>436</v>
      </c>
      <c r="E112" s="124"/>
      <c r="F112" s="123"/>
      <c r="G112" s="125"/>
      <c r="H112" s="124" t="s">
        <v>208</v>
      </c>
      <c r="I112" s="124" t="s">
        <v>209</v>
      </c>
      <c r="J112" s="126">
        <v>12</v>
      </c>
      <c r="K112" s="126" t="s">
        <v>335</v>
      </c>
      <c r="L112" s="127"/>
      <c r="M112" s="128"/>
      <c r="N112" s="129"/>
      <c r="O112" s="102" t="s">
        <v>307</v>
      </c>
    </row>
    <row r="113" spans="1:15">
      <c r="A113" s="89" t="s">
        <v>446</v>
      </c>
      <c r="B113" s="130"/>
      <c r="C113" s="91"/>
      <c r="D113" s="131" t="s">
        <v>447</v>
      </c>
      <c r="E113" s="95"/>
      <c r="F113" s="93"/>
      <c r="G113" s="93"/>
      <c r="H113" s="93"/>
      <c r="I113" s="93"/>
      <c r="J113" s="93"/>
      <c r="K113" s="93"/>
      <c r="L113" s="132"/>
      <c r="M113" s="133"/>
      <c r="N113" s="132"/>
      <c r="O113" s="96"/>
    </row>
    <row r="114" ht="38.25" spans="1:15">
      <c r="A114" s="82" t="s">
        <v>186</v>
      </c>
      <c r="B114" s="83" t="s">
        <v>187</v>
      </c>
      <c r="C114" s="84" t="s">
        <v>188</v>
      </c>
      <c r="D114" s="83" t="s">
        <v>189</v>
      </c>
      <c r="E114" s="84" t="s">
        <v>190</v>
      </c>
      <c r="F114" s="84" t="s">
        <v>191</v>
      </c>
      <c r="G114" s="84" t="s">
        <v>192</v>
      </c>
      <c r="H114" s="84" t="s">
        <v>193</v>
      </c>
      <c r="I114" s="84" t="s">
        <v>194</v>
      </c>
      <c r="J114" s="84" t="s">
        <v>195</v>
      </c>
      <c r="K114" s="84" t="s">
        <v>196</v>
      </c>
      <c r="L114" s="85" t="s">
        <v>197</v>
      </c>
      <c r="M114" s="86" t="s">
        <v>198</v>
      </c>
      <c r="N114" s="85" t="s">
        <v>199</v>
      </c>
      <c r="O114" s="114" t="s">
        <v>200</v>
      </c>
    </row>
    <row r="115" spans="1:15">
      <c r="A115" s="134" t="s">
        <v>448</v>
      </c>
      <c r="B115" s="97"/>
      <c r="C115" s="97" t="s">
        <v>449</v>
      </c>
      <c r="D115" s="72" t="s">
        <v>450</v>
      </c>
      <c r="E115" s="115" t="s">
        <v>451</v>
      </c>
      <c r="F115" s="99"/>
      <c r="G115" s="99" t="s">
        <v>452</v>
      </c>
      <c r="H115" s="99" t="s">
        <v>208</v>
      </c>
      <c r="I115" s="99" t="s">
        <v>453</v>
      </c>
      <c r="J115" s="99">
        <v>6</v>
      </c>
      <c r="K115" s="99" t="s">
        <v>210</v>
      </c>
      <c r="L115" s="102"/>
      <c r="M115" s="101"/>
      <c r="N115" s="102"/>
      <c r="O115" s="102"/>
    </row>
    <row r="116" spans="1:15">
      <c r="A116" s="134" t="s">
        <v>454</v>
      </c>
      <c r="B116" s="98"/>
      <c r="C116" s="98" t="s">
        <v>449</v>
      </c>
      <c r="D116" s="72" t="s">
        <v>450</v>
      </c>
      <c r="E116" s="115" t="s">
        <v>455</v>
      </c>
      <c r="F116" s="99"/>
      <c r="G116" s="614" t="s">
        <v>339</v>
      </c>
      <c r="H116" s="99" t="s">
        <v>333</v>
      </c>
      <c r="I116" s="99" t="s">
        <v>453</v>
      </c>
      <c r="J116" s="99">
        <v>24</v>
      </c>
      <c r="K116" s="99" t="s">
        <v>335</v>
      </c>
      <c r="L116" s="102"/>
      <c r="M116" s="101"/>
      <c r="N116" s="102"/>
      <c r="O116" s="102"/>
    </row>
    <row r="117" spans="1:15">
      <c r="A117" s="134" t="s">
        <v>456</v>
      </c>
      <c r="B117" s="98"/>
      <c r="C117" s="98" t="s">
        <v>449</v>
      </c>
      <c r="D117" s="72" t="s">
        <v>450</v>
      </c>
      <c r="E117" s="115" t="s">
        <v>457</v>
      </c>
      <c r="F117" s="99"/>
      <c r="G117" s="99" t="s">
        <v>452</v>
      </c>
      <c r="H117" s="99" t="s">
        <v>208</v>
      </c>
      <c r="I117" s="99" t="s">
        <v>453</v>
      </c>
      <c r="J117" s="99">
        <v>6</v>
      </c>
      <c r="K117" s="99" t="s">
        <v>210</v>
      </c>
      <c r="L117" s="102"/>
      <c r="M117" s="101"/>
      <c r="N117" s="100"/>
      <c r="O117" s="102"/>
    </row>
    <row r="118" spans="1:15">
      <c r="A118" s="134" t="s">
        <v>458</v>
      </c>
      <c r="B118" s="98"/>
      <c r="C118" s="98" t="s">
        <v>449</v>
      </c>
      <c r="D118" s="72" t="s">
        <v>450</v>
      </c>
      <c r="E118" s="115" t="s">
        <v>459</v>
      </c>
      <c r="F118" s="99"/>
      <c r="G118" s="614" t="s">
        <v>339</v>
      </c>
      <c r="H118" s="99" t="s">
        <v>333</v>
      </c>
      <c r="I118" s="99" t="s">
        <v>453</v>
      </c>
      <c r="J118" s="99">
        <v>24</v>
      </c>
      <c r="K118" s="99" t="s">
        <v>210</v>
      </c>
      <c r="L118" s="102"/>
      <c r="M118" s="101"/>
      <c r="N118" s="100"/>
      <c r="O118" s="102"/>
    </row>
    <row r="119" spans="1:15">
      <c r="A119" s="134" t="s">
        <v>460</v>
      </c>
      <c r="B119" s="98"/>
      <c r="C119" s="98" t="s">
        <v>449</v>
      </c>
      <c r="D119" s="72" t="s">
        <v>450</v>
      </c>
      <c r="E119" s="115" t="s">
        <v>461</v>
      </c>
      <c r="F119" s="99"/>
      <c r="G119" s="99" t="s">
        <v>452</v>
      </c>
      <c r="H119" s="99" t="s">
        <v>208</v>
      </c>
      <c r="I119" s="99" t="s">
        <v>453</v>
      </c>
      <c r="J119" s="99">
        <v>6</v>
      </c>
      <c r="K119" s="99" t="s">
        <v>210</v>
      </c>
      <c r="L119" s="102"/>
      <c r="M119" s="101"/>
      <c r="N119" s="100"/>
      <c r="O119" s="102"/>
    </row>
    <row r="120" spans="1:15">
      <c r="A120" s="134" t="s">
        <v>462</v>
      </c>
      <c r="B120" s="98"/>
      <c r="C120" s="98" t="s">
        <v>463</v>
      </c>
      <c r="D120" s="72" t="s">
        <v>464</v>
      </c>
      <c r="E120" s="115" t="s">
        <v>465</v>
      </c>
      <c r="F120" s="98"/>
      <c r="G120" s="99" t="s">
        <v>466</v>
      </c>
      <c r="H120" s="115" t="s">
        <v>208</v>
      </c>
      <c r="I120" s="115" t="s">
        <v>467</v>
      </c>
      <c r="J120" s="99">
        <v>12</v>
      </c>
      <c r="K120" s="99" t="s">
        <v>210</v>
      </c>
      <c r="L120" s="102"/>
      <c r="M120" s="119"/>
      <c r="N120" s="102"/>
      <c r="O120" s="102"/>
    </row>
    <row r="121" spans="1:15">
      <c r="A121" s="134" t="s">
        <v>468</v>
      </c>
      <c r="B121" s="98"/>
      <c r="C121" s="98" t="s">
        <v>469</v>
      </c>
      <c r="D121" s="72" t="s">
        <v>470</v>
      </c>
      <c r="E121" s="115" t="s">
        <v>471</v>
      </c>
      <c r="F121" s="98"/>
      <c r="G121" s="614" t="s">
        <v>369</v>
      </c>
      <c r="H121" s="115" t="s">
        <v>215</v>
      </c>
      <c r="I121" s="115"/>
      <c r="J121" s="99"/>
      <c r="K121" s="99" t="s">
        <v>210</v>
      </c>
      <c r="L121" s="102"/>
      <c r="M121" s="119"/>
      <c r="N121" s="100"/>
      <c r="O121" s="117"/>
    </row>
    <row r="122" spans="1:15">
      <c r="A122" s="134" t="s">
        <v>472</v>
      </c>
      <c r="B122" s="98"/>
      <c r="C122" s="98" t="s">
        <v>473</v>
      </c>
      <c r="D122" s="72" t="s">
        <v>474</v>
      </c>
      <c r="E122" s="115" t="s">
        <v>475</v>
      </c>
      <c r="F122" s="98"/>
      <c r="G122" s="99" t="s">
        <v>476</v>
      </c>
      <c r="H122" s="115" t="s">
        <v>208</v>
      </c>
      <c r="I122" s="115" t="s">
        <v>209</v>
      </c>
      <c r="J122" s="99">
        <v>12</v>
      </c>
      <c r="K122" s="99" t="s">
        <v>210</v>
      </c>
      <c r="L122" s="102"/>
      <c r="M122" s="119"/>
      <c r="N122" s="100"/>
      <c r="O122" s="102" t="s">
        <v>235</v>
      </c>
    </row>
    <row r="123" spans="1:15">
      <c r="A123" s="134" t="s">
        <v>477</v>
      </c>
      <c r="B123" s="98"/>
      <c r="C123" s="98" t="s">
        <v>473</v>
      </c>
      <c r="D123" s="72" t="s">
        <v>474</v>
      </c>
      <c r="E123" s="115" t="s">
        <v>206</v>
      </c>
      <c r="F123" s="98"/>
      <c r="G123" s="99" t="s">
        <v>476</v>
      </c>
      <c r="H123" s="115" t="s">
        <v>208</v>
      </c>
      <c r="I123" s="115" t="s">
        <v>209</v>
      </c>
      <c r="J123" s="99">
        <v>12</v>
      </c>
      <c r="K123" s="99" t="s">
        <v>210</v>
      </c>
      <c r="L123" s="102"/>
      <c r="M123" s="119"/>
      <c r="N123" s="100"/>
      <c r="O123" s="102" t="s">
        <v>235</v>
      </c>
    </row>
    <row r="124" spans="1:15">
      <c r="A124" s="134" t="s">
        <v>478</v>
      </c>
      <c r="B124" s="98"/>
      <c r="C124" s="98" t="s">
        <v>473</v>
      </c>
      <c r="D124" s="72" t="s">
        <v>474</v>
      </c>
      <c r="E124" s="115" t="s">
        <v>206</v>
      </c>
      <c r="F124" s="98"/>
      <c r="G124" s="99" t="s">
        <v>476</v>
      </c>
      <c r="H124" s="115" t="s">
        <v>208</v>
      </c>
      <c r="I124" s="115" t="s">
        <v>209</v>
      </c>
      <c r="J124" s="99">
        <v>12</v>
      </c>
      <c r="K124" s="99" t="s">
        <v>210</v>
      </c>
      <c r="L124" s="102"/>
      <c r="M124" s="119"/>
      <c r="N124" s="100"/>
      <c r="O124" s="102" t="s">
        <v>235</v>
      </c>
    </row>
    <row r="125" spans="1:15">
      <c r="A125" s="134" t="s">
        <v>479</v>
      </c>
      <c r="B125" s="98"/>
      <c r="C125" s="98" t="s">
        <v>480</v>
      </c>
      <c r="D125" s="72" t="s">
        <v>481</v>
      </c>
      <c r="E125" s="115" t="s">
        <v>482</v>
      </c>
      <c r="F125" s="98"/>
      <c r="G125" s="614" t="s">
        <v>369</v>
      </c>
      <c r="H125" s="115" t="s">
        <v>215</v>
      </c>
      <c r="I125" s="115"/>
      <c r="J125" s="99"/>
      <c r="K125" s="99" t="s">
        <v>210</v>
      </c>
      <c r="L125" s="102"/>
      <c r="M125" s="119"/>
      <c r="N125" s="100"/>
      <c r="O125" s="117"/>
    </row>
    <row r="126" spans="1:15">
      <c r="A126" s="134" t="s">
        <v>483</v>
      </c>
      <c r="B126" s="98"/>
      <c r="C126" s="98" t="s">
        <v>484</v>
      </c>
      <c r="D126" s="72" t="s">
        <v>485</v>
      </c>
      <c r="E126" s="115" t="s">
        <v>486</v>
      </c>
      <c r="F126" s="98"/>
      <c r="G126" s="614" t="s">
        <v>369</v>
      </c>
      <c r="H126" s="115" t="s">
        <v>215</v>
      </c>
      <c r="I126" s="115"/>
      <c r="J126" s="99"/>
      <c r="K126" s="99" t="s">
        <v>210</v>
      </c>
      <c r="L126" s="102"/>
      <c r="M126" s="119"/>
      <c r="N126" s="100"/>
      <c r="O126" s="102"/>
    </row>
    <row r="127" spans="1:15">
      <c r="A127" s="134" t="s">
        <v>487</v>
      </c>
      <c r="B127" s="98"/>
      <c r="C127" s="98" t="s">
        <v>484</v>
      </c>
      <c r="D127" s="72" t="s">
        <v>485</v>
      </c>
      <c r="E127" s="115"/>
      <c r="F127" s="98"/>
      <c r="G127" s="614" t="s">
        <v>369</v>
      </c>
      <c r="H127" s="115" t="s">
        <v>215</v>
      </c>
      <c r="I127" s="115"/>
      <c r="J127" s="99"/>
      <c r="K127" s="99" t="s">
        <v>210</v>
      </c>
      <c r="L127" s="102"/>
      <c r="M127" s="119"/>
      <c r="N127" s="100"/>
      <c r="O127" s="102"/>
    </row>
    <row r="128" spans="1:15">
      <c r="A128" s="134" t="s">
        <v>488</v>
      </c>
      <c r="B128" s="98"/>
      <c r="C128" s="98" t="s">
        <v>489</v>
      </c>
      <c r="D128" s="72" t="s">
        <v>490</v>
      </c>
      <c r="E128" s="115" t="s">
        <v>491</v>
      </c>
      <c r="F128" s="98"/>
      <c r="G128" s="614" t="s">
        <v>369</v>
      </c>
      <c r="H128" s="115" t="s">
        <v>215</v>
      </c>
      <c r="I128" s="115"/>
      <c r="J128" s="99"/>
      <c r="K128" s="99" t="s">
        <v>210</v>
      </c>
      <c r="L128" s="102"/>
      <c r="M128" s="119"/>
      <c r="N128" s="100"/>
      <c r="O128" s="102"/>
    </row>
    <row r="129" spans="1:15">
      <c r="A129" s="134" t="s">
        <v>492</v>
      </c>
      <c r="B129" s="98"/>
      <c r="C129" s="98" t="s">
        <v>493</v>
      </c>
      <c r="D129" s="72" t="s">
        <v>494</v>
      </c>
      <c r="E129" s="115" t="s">
        <v>495</v>
      </c>
      <c r="F129" s="98"/>
      <c r="G129" s="614" t="s">
        <v>369</v>
      </c>
      <c r="H129" s="115" t="s">
        <v>215</v>
      </c>
      <c r="I129" s="115"/>
      <c r="J129" s="99"/>
      <c r="K129" s="99" t="s">
        <v>210</v>
      </c>
      <c r="L129" s="102"/>
      <c r="M129" s="119"/>
      <c r="N129" s="100"/>
      <c r="O129" s="102"/>
    </row>
    <row r="130" spans="1:15">
      <c r="A130" s="134" t="s">
        <v>496</v>
      </c>
      <c r="B130" s="98"/>
      <c r="C130" s="98" t="s">
        <v>497</v>
      </c>
      <c r="D130" s="72" t="s">
        <v>498</v>
      </c>
      <c r="E130" s="115"/>
      <c r="F130" s="98"/>
      <c r="G130" s="614" t="s">
        <v>339</v>
      </c>
      <c r="H130" s="115" t="s">
        <v>333</v>
      </c>
      <c r="I130" s="115"/>
      <c r="J130" s="99"/>
      <c r="K130" s="99" t="s">
        <v>210</v>
      </c>
      <c r="L130" s="102"/>
      <c r="M130" s="119"/>
      <c r="N130" s="100"/>
      <c r="O130" s="117"/>
    </row>
    <row r="131" spans="1:15">
      <c r="A131" s="134" t="s">
        <v>499</v>
      </c>
      <c r="B131" s="98"/>
      <c r="C131" s="98" t="s">
        <v>500</v>
      </c>
      <c r="D131" s="72" t="s">
        <v>501</v>
      </c>
      <c r="E131" s="115" t="s">
        <v>502</v>
      </c>
      <c r="F131" s="98"/>
      <c r="G131" s="99" t="s">
        <v>503</v>
      </c>
      <c r="H131" s="115" t="s">
        <v>333</v>
      </c>
      <c r="I131" s="115" t="s">
        <v>209</v>
      </c>
      <c r="J131" s="99">
        <v>24</v>
      </c>
      <c r="K131" s="99" t="s">
        <v>210</v>
      </c>
      <c r="L131" s="102"/>
      <c r="M131" s="119"/>
      <c r="N131" s="100"/>
      <c r="O131" s="102"/>
    </row>
    <row r="132" spans="1:15">
      <c r="A132" s="134" t="s">
        <v>504</v>
      </c>
      <c r="B132" s="98"/>
      <c r="C132" s="98" t="s">
        <v>500</v>
      </c>
      <c r="D132" s="72" t="s">
        <v>505</v>
      </c>
      <c r="E132" s="115" t="s">
        <v>506</v>
      </c>
      <c r="F132" s="98"/>
      <c r="G132" s="99" t="s">
        <v>503</v>
      </c>
      <c r="H132" s="115" t="s">
        <v>333</v>
      </c>
      <c r="I132" s="115" t="s">
        <v>209</v>
      </c>
      <c r="J132" s="99">
        <v>24</v>
      </c>
      <c r="K132" s="99" t="s">
        <v>210</v>
      </c>
      <c r="L132" s="102"/>
      <c r="M132" s="119"/>
      <c r="N132" s="100"/>
      <c r="O132" s="102"/>
    </row>
    <row r="133" spans="1:15">
      <c r="A133" s="134" t="s">
        <v>507</v>
      </c>
      <c r="B133" s="98"/>
      <c r="C133" s="98"/>
      <c r="D133" s="98" t="s">
        <v>508</v>
      </c>
      <c r="E133" s="115" t="s">
        <v>331</v>
      </c>
      <c r="F133" s="98"/>
      <c r="G133" s="101" t="s">
        <v>509</v>
      </c>
      <c r="H133" s="115" t="s">
        <v>208</v>
      </c>
      <c r="I133" s="115" t="s">
        <v>209</v>
      </c>
      <c r="J133" s="99"/>
      <c r="K133" s="99" t="s">
        <v>335</v>
      </c>
      <c r="L133" s="102"/>
      <c r="M133" s="119"/>
      <c r="N133" s="100"/>
      <c r="O133" s="102"/>
    </row>
    <row r="134" spans="1:15">
      <c r="A134" s="134" t="s">
        <v>510</v>
      </c>
      <c r="B134" s="98"/>
      <c r="C134" s="98"/>
      <c r="D134" s="72" t="s">
        <v>450</v>
      </c>
      <c r="E134" s="115"/>
      <c r="F134" s="98"/>
      <c r="G134" s="101"/>
      <c r="H134" s="115" t="s">
        <v>208</v>
      </c>
      <c r="I134" s="99" t="s">
        <v>453</v>
      </c>
      <c r="J134" s="99"/>
      <c r="K134" s="99" t="s">
        <v>335</v>
      </c>
      <c r="L134" s="102"/>
      <c r="M134" s="119"/>
      <c r="N134" s="100"/>
      <c r="O134" s="102"/>
    </row>
    <row r="135" spans="1:15">
      <c r="A135" s="134" t="s">
        <v>511</v>
      </c>
      <c r="B135" s="98"/>
      <c r="C135" s="98"/>
      <c r="D135" s="72" t="s">
        <v>450</v>
      </c>
      <c r="E135" s="115"/>
      <c r="F135" s="98"/>
      <c r="G135" s="101"/>
      <c r="H135" s="115" t="s">
        <v>208</v>
      </c>
      <c r="I135" s="99" t="s">
        <v>453</v>
      </c>
      <c r="J135" s="99"/>
      <c r="K135" s="99" t="s">
        <v>335</v>
      </c>
      <c r="L135" s="102"/>
      <c r="M135" s="119"/>
      <c r="N135" s="100"/>
      <c r="O135" s="102"/>
    </row>
    <row r="136" spans="1:15">
      <c r="A136" s="134" t="s">
        <v>512</v>
      </c>
      <c r="B136" s="98"/>
      <c r="C136" s="98"/>
      <c r="D136" s="72" t="s">
        <v>464</v>
      </c>
      <c r="E136" s="115"/>
      <c r="F136" s="98"/>
      <c r="G136" s="101"/>
      <c r="H136" s="115" t="s">
        <v>208</v>
      </c>
      <c r="I136" s="115" t="s">
        <v>467</v>
      </c>
      <c r="J136" s="99"/>
      <c r="K136" s="99" t="s">
        <v>210</v>
      </c>
      <c r="L136" s="102"/>
      <c r="M136" s="119"/>
      <c r="N136" s="100"/>
      <c r="O136" s="102" t="s">
        <v>307</v>
      </c>
    </row>
    <row r="137" spans="1:15">
      <c r="A137" s="134" t="s">
        <v>513</v>
      </c>
      <c r="B137" s="98"/>
      <c r="C137" s="98"/>
      <c r="D137" s="72" t="s">
        <v>464</v>
      </c>
      <c r="E137" s="115"/>
      <c r="F137" s="98"/>
      <c r="G137" s="101"/>
      <c r="H137" s="115" t="s">
        <v>208</v>
      </c>
      <c r="I137" s="115" t="s">
        <v>467</v>
      </c>
      <c r="J137" s="99"/>
      <c r="K137" s="99" t="s">
        <v>335</v>
      </c>
      <c r="L137" s="102"/>
      <c r="M137" s="119"/>
      <c r="N137" s="100"/>
      <c r="O137" s="102" t="s">
        <v>307</v>
      </c>
    </row>
    <row r="138" spans="1:15">
      <c r="A138" s="134" t="s">
        <v>514</v>
      </c>
      <c r="B138" s="98" t="s">
        <v>515</v>
      </c>
      <c r="C138" s="98"/>
      <c r="D138" s="72" t="s">
        <v>501</v>
      </c>
      <c r="E138" s="115"/>
      <c r="F138" s="98"/>
      <c r="G138" s="101"/>
      <c r="H138" s="115" t="s">
        <v>333</v>
      </c>
      <c r="I138" s="115"/>
      <c r="J138" s="99">
        <v>24</v>
      </c>
      <c r="K138" s="99"/>
      <c r="L138" s="102"/>
      <c r="M138" s="119"/>
      <c r="N138" s="100"/>
      <c r="O138" s="102"/>
    </row>
    <row r="139" spans="1:15">
      <c r="A139" s="134" t="s">
        <v>516</v>
      </c>
      <c r="B139" s="98" t="s">
        <v>517</v>
      </c>
      <c r="C139" s="98"/>
      <c r="D139" s="72" t="s">
        <v>518</v>
      </c>
      <c r="E139" s="115"/>
      <c r="F139" s="98"/>
      <c r="G139" s="101"/>
      <c r="H139" s="115" t="s">
        <v>333</v>
      </c>
      <c r="I139" s="115"/>
      <c r="J139" s="99">
        <v>24</v>
      </c>
      <c r="K139" s="99"/>
      <c r="L139" s="102"/>
      <c r="M139" s="119"/>
      <c r="N139" s="100"/>
      <c r="O139" s="102"/>
    </row>
    <row r="140" spans="1:15">
      <c r="A140" s="134" t="s">
        <v>519</v>
      </c>
      <c r="B140" s="98" t="s">
        <v>520</v>
      </c>
      <c r="C140" s="98"/>
      <c r="D140" s="72" t="s">
        <v>521</v>
      </c>
      <c r="E140" s="115"/>
      <c r="F140" s="98"/>
      <c r="G140" s="101"/>
      <c r="H140" s="115" t="s">
        <v>208</v>
      </c>
      <c r="I140" s="115"/>
      <c r="J140" s="99">
        <v>12</v>
      </c>
      <c r="K140" s="99" t="s">
        <v>335</v>
      </c>
      <c r="L140" s="102"/>
      <c r="M140" s="119"/>
      <c r="N140" s="100"/>
      <c r="O140" s="102"/>
    </row>
    <row r="141" spans="1:15">
      <c r="A141" s="134" t="s">
        <v>522</v>
      </c>
      <c r="B141" s="98" t="s">
        <v>523</v>
      </c>
      <c r="C141" s="98"/>
      <c r="D141" s="72" t="s">
        <v>521</v>
      </c>
      <c r="E141" s="115"/>
      <c r="F141" s="98"/>
      <c r="G141" s="101"/>
      <c r="H141" s="115" t="s">
        <v>208</v>
      </c>
      <c r="I141" s="115"/>
      <c r="J141" s="99">
        <v>12</v>
      </c>
      <c r="K141" s="99" t="s">
        <v>335</v>
      </c>
      <c r="L141" s="102"/>
      <c r="M141" s="119"/>
      <c r="N141" s="100"/>
      <c r="O141" s="102"/>
    </row>
    <row r="142" spans="1:15">
      <c r="A142" s="134" t="s">
        <v>524</v>
      </c>
      <c r="B142" s="98" t="s">
        <v>525</v>
      </c>
      <c r="C142" s="98"/>
      <c r="D142" s="72" t="s">
        <v>521</v>
      </c>
      <c r="E142" s="115"/>
      <c r="F142" s="98"/>
      <c r="G142" s="101"/>
      <c r="H142" s="115" t="s">
        <v>208</v>
      </c>
      <c r="I142" s="115"/>
      <c r="J142" s="99">
        <v>12</v>
      </c>
      <c r="K142" s="99" t="s">
        <v>335</v>
      </c>
      <c r="L142" s="102"/>
      <c r="M142" s="119"/>
      <c r="N142" s="100"/>
      <c r="O142" s="102"/>
    </row>
    <row r="143" spans="1:15">
      <c r="A143" s="134" t="s">
        <v>526</v>
      </c>
      <c r="B143" s="98" t="s">
        <v>527</v>
      </c>
      <c r="C143" s="98"/>
      <c r="D143" s="72" t="s">
        <v>528</v>
      </c>
      <c r="E143" s="115"/>
      <c r="F143" s="98"/>
      <c r="G143" s="101"/>
      <c r="H143" s="115" t="s">
        <v>208</v>
      </c>
      <c r="I143" s="115"/>
      <c r="J143" s="99">
        <v>12</v>
      </c>
      <c r="K143" s="99" t="s">
        <v>335</v>
      </c>
      <c r="L143" s="102"/>
      <c r="M143" s="119"/>
      <c r="N143" s="100"/>
      <c r="O143" s="102"/>
    </row>
    <row r="144" spans="1:15">
      <c r="A144" s="134" t="s">
        <v>529</v>
      </c>
      <c r="B144" s="98" t="s">
        <v>530</v>
      </c>
      <c r="C144" s="98"/>
      <c r="D144" s="72" t="s">
        <v>531</v>
      </c>
      <c r="E144" s="115"/>
      <c r="F144" s="98"/>
      <c r="G144" s="101"/>
      <c r="H144" s="115" t="s">
        <v>208</v>
      </c>
      <c r="I144" s="115"/>
      <c r="J144" s="99">
        <v>12</v>
      </c>
      <c r="K144" s="99" t="s">
        <v>335</v>
      </c>
      <c r="L144" s="102"/>
      <c r="M144" s="119"/>
      <c r="N144" s="100"/>
      <c r="O144" s="102"/>
    </row>
    <row r="145" spans="1:15">
      <c r="A145" s="134" t="s">
        <v>532</v>
      </c>
      <c r="B145" s="98" t="s">
        <v>533</v>
      </c>
      <c r="C145" s="98"/>
      <c r="D145" s="72" t="s">
        <v>534</v>
      </c>
      <c r="E145" s="115"/>
      <c r="F145" s="98"/>
      <c r="G145" s="101"/>
      <c r="H145" s="115" t="s">
        <v>208</v>
      </c>
      <c r="I145" s="115"/>
      <c r="J145" s="99">
        <v>12</v>
      </c>
      <c r="K145" s="99" t="s">
        <v>335</v>
      </c>
      <c r="L145" s="102"/>
      <c r="M145" s="119"/>
      <c r="N145" s="100"/>
      <c r="O145" s="102"/>
    </row>
    <row r="146" spans="1:15">
      <c r="A146" s="134" t="s">
        <v>535</v>
      </c>
      <c r="B146" s="98"/>
      <c r="C146" s="98"/>
      <c r="D146" s="72" t="s">
        <v>536</v>
      </c>
      <c r="E146" s="115"/>
      <c r="F146" s="98"/>
      <c r="G146" s="101"/>
      <c r="H146" s="115" t="s">
        <v>208</v>
      </c>
      <c r="I146" s="115"/>
      <c r="J146" s="99">
        <v>12</v>
      </c>
      <c r="K146" s="99" t="s">
        <v>335</v>
      </c>
      <c r="L146" s="102"/>
      <c r="M146" s="119"/>
      <c r="N146" s="100"/>
      <c r="O146" s="102"/>
    </row>
    <row r="147" spans="1:15">
      <c r="A147" s="134" t="s">
        <v>537</v>
      </c>
      <c r="B147" s="98"/>
      <c r="C147" s="98"/>
      <c r="D147" s="72" t="s">
        <v>536</v>
      </c>
      <c r="E147" s="115"/>
      <c r="F147" s="98"/>
      <c r="G147" s="101"/>
      <c r="H147" s="115" t="s">
        <v>208</v>
      </c>
      <c r="I147" s="115"/>
      <c r="J147" s="99">
        <v>12</v>
      </c>
      <c r="K147" s="99" t="s">
        <v>335</v>
      </c>
      <c r="L147" s="102"/>
      <c r="M147" s="119"/>
      <c r="N147" s="100"/>
      <c r="O147" s="102"/>
    </row>
    <row r="148" spans="1:15">
      <c r="A148" s="134" t="s">
        <v>538</v>
      </c>
      <c r="B148" s="98"/>
      <c r="C148" s="98"/>
      <c r="D148" s="72" t="s">
        <v>536</v>
      </c>
      <c r="E148" s="115"/>
      <c r="F148" s="98"/>
      <c r="G148" s="101"/>
      <c r="H148" s="115" t="s">
        <v>208</v>
      </c>
      <c r="I148" s="115"/>
      <c r="J148" s="99">
        <v>12</v>
      </c>
      <c r="K148" s="99" t="s">
        <v>335</v>
      </c>
      <c r="L148" s="102"/>
      <c r="M148" s="119"/>
      <c r="N148" s="100"/>
      <c r="O148" s="102"/>
    </row>
    <row r="149" spans="1:15">
      <c r="A149" s="134" t="s">
        <v>539</v>
      </c>
      <c r="B149" s="98"/>
      <c r="C149" s="98"/>
      <c r="D149" s="72" t="s">
        <v>540</v>
      </c>
      <c r="E149" s="115"/>
      <c r="F149" s="98"/>
      <c r="G149" s="101"/>
      <c r="H149" s="115" t="s">
        <v>208</v>
      </c>
      <c r="I149" s="115"/>
      <c r="J149" s="99">
        <v>12</v>
      </c>
      <c r="K149" s="99" t="s">
        <v>335</v>
      </c>
      <c r="L149" s="102"/>
      <c r="M149" s="119"/>
      <c r="N149" s="100"/>
      <c r="O149" s="102" t="s">
        <v>541</v>
      </c>
    </row>
    <row r="150" spans="1:15">
      <c r="A150" s="134" t="s">
        <v>542</v>
      </c>
      <c r="B150" s="98"/>
      <c r="C150" s="98"/>
      <c r="D150" s="72" t="s">
        <v>543</v>
      </c>
      <c r="E150" s="115"/>
      <c r="F150" s="98"/>
      <c r="G150" s="101"/>
      <c r="H150" s="115" t="s">
        <v>208</v>
      </c>
      <c r="I150" s="115"/>
      <c r="J150" s="99">
        <v>12</v>
      </c>
      <c r="K150" s="99" t="s">
        <v>335</v>
      </c>
      <c r="L150" s="102"/>
      <c r="M150" s="119"/>
      <c r="N150" s="100"/>
      <c r="O150" s="102" t="s">
        <v>544</v>
      </c>
    </row>
    <row r="151" spans="1:15">
      <c r="A151" s="134" t="s">
        <v>545</v>
      </c>
      <c r="B151" s="98"/>
      <c r="C151" s="98"/>
      <c r="D151" s="72" t="s">
        <v>540</v>
      </c>
      <c r="E151" s="115"/>
      <c r="F151" s="98"/>
      <c r="G151" s="101"/>
      <c r="H151" s="115" t="s">
        <v>208</v>
      </c>
      <c r="I151" s="115"/>
      <c r="J151" s="99">
        <v>12</v>
      </c>
      <c r="K151" s="99" t="s">
        <v>335</v>
      </c>
      <c r="L151" s="102"/>
      <c r="M151" s="119"/>
      <c r="N151" s="100"/>
      <c r="O151" s="102" t="s">
        <v>546</v>
      </c>
    </row>
    <row r="152" spans="1:15">
      <c r="A152" s="134" t="s">
        <v>547</v>
      </c>
      <c r="B152" s="98" t="s">
        <v>548</v>
      </c>
      <c r="C152" s="98"/>
      <c r="D152" s="72" t="s">
        <v>549</v>
      </c>
      <c r="E152" s="115"/>
      <c r="F152" s="98"/>
      <c r="G152" s="101"/>
      <c r="H152" s="115" t="s">
        <v>208</v>
      </c>
      <c r="I152" s="115"/>
      <c r="J152" s="99">
        <v>12</v>
      </c>
      <c r="K152" s="99" t="s">
        <v>335</v>
      </c>
      <c r="L152" s="102"/>
      <c r="M152" s="119"/>
      <c r="N152" s="100"/>
      <c r="O152" s="102"/>
    </row>
    <row r="153" spans="1:15">
      <c r="A153" s="134" t="s">
        <v>550</v>
      </c>
      <c r="B153" s="98" t="s">
        <v>551</v>
      </c>
      <c r="C153" s="98"/>
      <c r="D153" s="72" t="s">
        <v>534</v>
      </c>
      <c r="E153" s="115"/>
      <c r="F153" s="98"/>
      <c r="G153" s="101"/>
      <c r="H153" s="115" t="s">
        <v>208</v>
      </c>
      <c r="I153" s="115"/>
      <c r="J153" s="99">
        <v>12</v>
      </c>
      <c r="K153" s="99" t="s">
        <v>335</v>
      </c>
      <c r="L153" s="102"/>
      <c r="M153" s="119"/>
      <c r="N153" s="100"/>
      <c r="O153" s="102"/>
    </row>
    <row r="154" spans="1:15">
      <c r="A154" s="134" t="s">
        <v>552</v>
      </c>
      <c r="B154" s="98" t="s">
        <v>553</v>
      </c>
      <c r="C154" s="98"/>
      <c r="D154" s="72" t="s">
        <v>554</v>
      </c>
      <c r="E154" s="115"/>
      <c r="F154" s="98"/>
      <c r="G154" s="101"/>
      <c r="H154" s="115" t="s">
        <v>333</v>
      </c>
      <c r="I154" s="115"/>
      <c r="J154" s="99">
        <v>12</v>
      </c>
      <c r="K154" s="99" t="s">
        <v>335</v>
      </c>
      <c r="L154" s="102"/>
      <c r="M154" s="119"/>
      <c r="N154" s="100"/>
      <c r="O154" s="102"/>
    </row>
    <row r="155" spans="1:15">
      <c r="A155" s="134" t="s">
        <v>555</v>
      </c>
      <c r="B155" s="98" t="s">
        <v>556</v>
      </c>
      <c r="C155" s="98"/>
      <c r="D155" s="72" t="s">
        <v>557</v>
      </c>
      <c r="E155" s="115"/>
      <c r="F155" s="98"/>
      <c r="G155" s="101"/>
      <c r="H155" s="115" t="s">
        <v>333</v>
      </c>
      <c r="I155" s="115"/>
      <c r="J155" s="99">
        <v>12</v>
      </c>
      <c r="K155" s="99" t="s">
        <v>335</v>
      </c>
      <c r="L155" s="102"/>
      <c r="M155" s="119"/>
      <c r="N155" s="100"/>
      <c r="O155" s="102"/>
    </row>
    <row r="156" spans="1:15">
      <c r="A156" s="134" t="s">
        <v>558</v>
      </c>
      <c r="B156" s="98"/>
      <c r="C156" s="98"/>
      <c r="D156" s="72" t="s">
        <v>559</v>
      </c>
      <c r="E156" s="115"/>
      <c r="F156" s="98"/>
      <c r="G156" s="101"/>
      <c r="H156" s="115" t="s">
        <v>208</v>
      </c>
      <c r="I156" s="115"/>
      <c r="J156" s="99">
        <v>12</v>
      </c>
      <c r="K156" s="99" t="s">
        <v>335</v>
      </c>
      <c r="L156" s="102"/>
      <c r="M156" s="119"/>
      <c r="N156" s="100"/>
      <c r="O156" s="102"/>
    </row>
    <row r="157" spans="1:15">
      <c r="A157" s="134" t="s">
        <v>560</v>
      </c>
      <c r="B157" s="98"/>
      <c r="C157" s="98"/>
      <c r="D157" s="72" t="s">
        <v>561</v>
      </c>
      <c r="E157" s="115"/>
      <c r="F157" s="98"/>
      <c r="G157" s="101"/>
      <c r="H157" s="115" t="s">
        <v>208</v>
      </c>
      <c r="I157" s="115"/>
      <c r="J157" s="99">
        <v>12</v>
      </c>
      <c r="K157" s="99" t="s">
        <v>335</v>
      </c>
      <c r="L157" s="102"/>
      <c r="M157" s="119"/>
      <c r="N157" s="100"/>
      <c r="O157" s="102"/>
    </row>
    <row r="158" spans="1:15">
      <c r="A158" s="134" t="s">
        <v>562</v>
      </c>
      <c r="B158" s="98"/>
      <c r="C158" s="98"/>
      <c r="D158" s="72" t="s">
        <v>563</v>
      </c>
      <c r="E158" s="115"/>
      <c r="F158" s="98"/>
      <c r="G158" s="101"/>
      <c r="H158" s="115" t="s">
        <v>208</v>
      </c>
      <c r="I158" s="115"/>
      <c r="J158" s="99">
        <v>12</v>
      </c>
      <c r="K158" s="99" t="s">
        <v>335</v>
      </c>
      <c r="L158" s="102"/>
      <c r="M158" s="119"/>
      <c r="N158" s="100"/>
      <c r="O158" s="102"/>
    </row>
    <row r="159" spans="1:15">
      <c r="A159" s="134" t="s">
        <v>564</v>
      </c>
      <c r="B159" s="98"/>
      <c r="C159" s="98"/>
      <c r="D159" s="72" t="s">
        <v>565</v>
      </c>
      <c r="E159" s="115"/>
      <c r="F159" s="98"/>
      <c r="G159" s="101"/>
      <c r="H159" s="115"/>
      <c r="I159" s="115"/>
      <c r="J159" s="99">
        <v>12</v>
      </c>
      <c r="K159" s="99" t="s">
        <v>210</v>
      </c>
      <c r="L159" s="102"/>
      <c r="M159" s="119"/>
      <c r="N159" s="100"/>
      <c r="O159" s="102" t="s">
        <v>566</v>
      </c>
    </row>
    <row r="160" spans="1:15">
      <c r="A160" s="134" t="s">
        <v>567</v>
      </c>
      <c r="B160" s="98"/>
      <c r="C160" s="98"/>
      <c r="D160" s="72" t="s">
        <v>568</v>
      </c>
      <c r="E160" s="115"/>
      <c r="F160" s="98"/>
      <c r="G160" s="101"/>
      <c r="H160" s="115" t="s">
        <v>333</v>
      </c>
      <c r="I160" s="115"/>
      <c r="J160" s="99">
        <v>24</v>
      </c>
      <c r="K160" s="99"/>
      <c r="L160" s="102">
        <v>41410</v>
      </c>
      <c r="M160" s="119"/>
      <c r="N160" s="100">
        <f t="shared" ref="N160:N162" si="6">L160+(J160*7*4.345)</f>
        <v>42139.96</v>
      </c>
      <c r="O160" s="102"/>
    </row>
    <row r="161" spans="1:15">
      <c r="A161" s="134" t="s">
        <v>569</v>
      </c>
      <c r="B161" s="98" t="s">
        <v>570</v>
      </c>
      <c r="C161" s="98"/>
      <c r="D161" s="72" t="s">
        <v>571</v>
      </c>
      <c r="E161" s="115"/>
      <c r="F161" s="98"/>
      <c r="G161" s="101"/>
      <c r="H161" s="115" t="s">
        <v>333</v>
      </c>
      <c r="I161" s="115"/>
      <c r="J161" s="99">
        <v>24</v>
      </c>
      <c r="K161" s="99"/>
      <c r="L161" s="102">
        <v>41410</v>
      </c>
      <c r="M161" s="119"/>
      <c r="N161" s="100">
        <f t="shared" si="6"/>
        <v>42139.96</v>
      </c>
      <c r="O161" s="102"/>
    </row>
    <row r="162" spans="1:15">
      <c r="A162" s="134" t="s">
        <v>572</v>
      </c>
      <c r="B162" s="98" t="s">
        <v>573</v>
      </c>
      <c r="C162" s="98"/>
      <c r="D162" s="72" t="s">
        <v>574</v>
      </c>
      <c r="E162" s="115"/>
      <c r="F162" s="98"/>
      <c r="G162" s="101"/>
      <c r="H162" s="115" t="s">
        <v>333</v>
      </c>
      <c r="I162" s="115"/>
      <c r="J162" s="99">
        <v>24</v>
      </c>
      <c r="K162" s="99"/>
      <c r="L162" s="102">
        <v>41410</v>
      </c>
      <c r="M162" s="119"/>
      <c r="N162" s="100">
        <f t="shared" si="6"/>
        <v>42139.96</v>
      </c>
      <c r="O162" s="102"/>
    </row>
    <row r="163" spans="1:15">
      <c r="A163" s="134" t="s">
        <v>575</v>
      </c>
      <c r="B163" s="98"/>
      <c r="C163" s="98"/>
      <c r="D163" s="72" t="s">
        <v>576</v>
      </c>
      <c r="E163" s="115"/>
      <c r="F163" s="98"/>
      <c r="G163" s="101"/>
      <c r="H163" s="115" t="s">
        <v>333</v>
      </c>
      <c r="I163" s="115"/>
      <c r="J163" s="99">
        <v>24</v>
      </c>
      <c r="K163" s="99"/>
      <c r="L163" s="102"/>
      <c r="M163" s="119"/>
      <c r="N163" s="100"/>
      <c r="O163" s="102" t="s">
        <v>577</v>
      </c>
    </row>
    <row r="164" spans="1:15">
      <c r="A164" s="134" t="s">
        <v>578</v>
      </c>
      <c r="B164" s="98"/>
      <c r="C164" s="98"/>
      <c r="D164" s="72" t="s">
        <v>563</v>
      </c>
      <c r="E164" s="115"/>
      <c r="F164" s="98"/>
      <c r="G164" s="101"/>
      <c r="H164" s="115"/>
      <c r="I164" s="115"/>
      <c r="J164" s="99">
        <v>12</v>
      </c>
      <c r="K164" s="99"/>
      <c r="L164" s="102"/>
      <c r="M164" s="119"/>
      <c r="N164" s="100"/>
      <c r="O164" s="102"/>
    </row>
    <row r="165" spans="1:15">
      <c r="A165" s="134" t="s">
        <v>579</v>
      </c>
      <c r="B165" s="98"/>
      <c r="C165" s="98"/>
      <c r="D165" s="72" t="s">
        <v>563</v>
      </c>
      <c r="E165" s="115"/>
      <c r="F165" s="98"/>
      <c r="G165" s="101"/>
      <c r="H165" s="115"/>
      <c r="I165" s="115"/>
      <c r="J165" s="99">
        <v>12</v>
      </c>
      <c r="K165" s="99"/>
      <c r="L165" s="102"/>
      <c r="M165" s="119"/>
      <c r="N165" s="100"/>
      <c r="O165" s="102"/>
    </row>
    <row r="166" spans="1:15">
      <c r="A166" s="134" t="s">
        <v>580</v>
      </c>
      <c r="B166" s="98"/>
      <c r="C166" s="98"/>
      <c r="D166" s="72" t="s">
        <v>576</v>
      </c>
      <c r="E166" s="115"/>
      <c r="F166" s="98"/>
      <c r="G166" s="101"/>
      <c r="H166" s="115"/>
      <c r="I166" s="115"/>
      <c r="J166" s="99">
        <v>12</v>
      </c>
      <c r="K166" s="99"/>
      <c r="L166" s="102"/>
      <c r="M166" s="119"/>
      <c r="N166" s="100"/>
      <c r="O166" s="102"/>
    </row>
    <row r="167" spans="1:15">
      <c r="A167" s="134" t="s">
        <v>581</v>
      </c>
      <c r="B167" s="98"/>
      <c r="C167" s="98"/>
      <c r="D167" s="72" t="s">
        <v>576</v>
      </c>
      <c r="E167" s="115"/>
      <c r="F167" s="98"/>
      <c r="G167" s="101"/>
      <c r="H167" s="115"/>
      <c r="I167" s="115"/>
      <c r="J167" s="99">
        <v>12</v>
      </c>
      <c r="K167" s="99"/>
      <c r="L167" s="102"/>
      <c r="M167" s="119"/>
      <c r="N167" s="100"/>
      <c r="O167" s="102" t="s">
        <v>541</v>
      </c>
    </row>
    <row r="168" spans="1:15">
      <c r="A168" s="134" t="s">
        <v>582</v>
      </c>
      <c r="B168" s="98"/>
      <c r="C168" s="98"/>
      <c r="D168" s="72" t="s">
        <v>576</v>
      </c>
      <c r="E168" s="115"/>
      <c r="F168" s="98"/>
      <c r="G168" s="101"/>
      <c r="H168" s="115"/>
      <c r="I168" s="115"/>
      <c r="J168" s="99">
        <v>12</v>
      </c>
      <c r="K168" s="99"/>
      <c r="L168" s="102"/>
      <c r="M168" s="119"/>
      <c r="N168" s="100"/>
      <c r="O168" s="102" t="s">
        <v>544</v>
      </c>
    </row>
    <row r="169" spans="1:15">
      <c r="A169" s="134" t="s">
        <v>583</v>
      </c>
      <c r="B169" s="98"/>
      <c r="C169" s="98"/>
      <c r="D169" s="72" t="s">
        <v>584</v>
      </c>
      <c r="E169" s="115"/>
      <c r="F169" s="98"/>
      <c r="G169" s="101"/>
      <c r="H169" s="115"/>
      <c r="I169" s="115"/>
      <c r="J169" s="99">
        <v>12</v>
      </c>
      <c r="K169" s="99"/>
      <c r="L169" s="102"/>
      <c r="M169" s="119"/>
      <c r="N169" s="100"/>
      <c r="O169" s="102" t="s">
        <v>546</v>
      </c>
    </row>
    <row r="170" spans="1:15">
      <c r="A170" s="134" t="s">
        <v>585</v>
      </c>
      <c r="B170" s="98"/>
      <c r="C170" s="98"/>
      <c r="D170" s="72" t="s">
        <v>584</v>
      </c>
      <c r="E170" s="115"/>
      <c r="F170" s="98"/>
      <c r="G170" s="101"/>
      <c r="H170" s="115"/>
      <c r="I170" s="115"/>
      <c r="J170" s="99">
        <v>12</v>
      </c>
      <c r="K170" s="99"/>
      <c r="L170" s="102"/>
      <c r="M170" s="119"/>
      <c r="N170" s="100"/>
      <c r="O170" s="102"/>
    </row>
    <row r="171" spans="1:15">
      <c r="A171" s="134" t="s">
        <v>586</v>
      </c>
      <c r="B171" s="98"/>
      <c r="C171" s="98"/>
      <c r="D171" s="72" t="s">
        <v>587</v>
      </c>
      <c r="E171" s="115"/>
      <c r="F171" s="98"/>
      <c r="G171" s="101"/>
      <c r="H171" s="115"/>
      <c r="I171" s="115"/>
      <c r="J171" s="99">
        <v>12</v>
      </c>
      <c r="K171" s="99"/>
      <c r="L171" s="102"/>
      <c r="M171" s="119"/>
      <c r="N171" s="100"/>
      <c r="O171" s="102"/>
    </row>
    <row r="172" spans="1:15">
      <c r="A172" s="134" t="s">
        <v>588</v>
      </c>
      <c r="B172" s="123"/>
      <c r="C172" s="123"/>
      <c r="D172" s="72" t="s">
        <v>587</v>
      </c>
      <c r="E172" s="115"/>
      <c r="F172" s="98"/>
      <c r="G172" s="101"/>
      <c r="H172" s="115"/>
      <c r="I172" s="115"/>
      <c r="J172" s="99">
        <v>12</v>
      </c>
      <c r="K172" s="99"/>
      <c r="L172" s="102"/>
      <c r="M172" s="119"/>
      <c r="N172" s="100"/>
      <c r="O172" s="127"/>
    </row>
    <row r="173" spans="1:15">
      <c r="A173" s="89" t="s">
        <v>589</v>
      </c>
      <c r="B173" s="106"/>
      <c r="C173" s="106"/>
      <c r="D173" s="107" t="s">
        <v>590</v>
      </c>
      <c r="E173" s="93"/>
      <c r="F173" s="93"/>
      <c r="G173" s="93"/>
      <c r="H173" s="93"/>
      <c r="I173" s="93"/>
      <c r="J173" s="93"/>
      <c r="K173" s="93"/>
      <c r="L173" s="94"/>
      <c r="M173" s="135"/>
      <c r="N173" s="94"/>
      <c r="O173" s="132"/>
    </row>
    <row r="174" ht="38.25" spans="1:15">
      <c r="A174" s="82" t="s">
        <v>186</v>
      </c>
      <c r="B174" s="83" t="s">
        <v>187</v>
      </c>
      <c r="C174" s="84" t="s">
        <v>188</v>
      </c>
      <c r="D174" s="83" t="s">
        <v>189</v>
      </c>
      <c r="E174" s="84" t="s">
        <v>190</v>
      </c>
      <c r="F174" s="84" t="s">
        <v>191</v>
      </c>
      <c r="G174" s="84" t="s">
        <v>192</v>
      </c>
      <c r="H174" s="84" t="s">
        <v>193</v>
      </c>
      <c r="I174" s="84" t="s">
        <v>194</v>
      </c>
      <c r="J174" s="84" t="s">
        <v>195</v>
      </c>
      <c r="K174" s="84" t="s">
        <v>196</v>
      </c>
      <c r="L174" s="85" t="s">
        <v>197</v>
      </c>
      <c r="M174" s="86" t="s">
        <v>198</v>
      </c>
      <c r="N174" s="85" t="s">
        <v>199</v>
      </c>
      <c r="O174" s="85" t="s">
        <v>200</v>
      </c>
    </row>
    <row r="175" spans="1:15">
      <c r="A175" s="97" t="s">
        <v>591</v>
      </c>
      <c r="B175" s="136" t="s">
        <v>592</v>
      </c>
      <c r="C175" s="98" t="s">
        <v>24</v>
      </c>
      <c r="D175" s="97" t="s">
        <v>593</v>
      </c>
      <c r="E175" s="99" t="s">
        <v>206</v>
      </c>
      <c r="F175" s="99"/>
      <c r="G175" s="118" t="s">
        <v>594</v>
      </c>
      <c r="H175" s="99" t="s">
        <v>208</v>
      </c>
      <c r="I175" s="99" t="s">
        <v>209</v>
      </c>
      <c r="J175" s="99">
        <v>12</v>
      </c>
      <c r="K175" s="99" t="s">
        <v>210</v>
      </c>
      <c r="L175" s="102">
        <v>41422</v>
      </c>
      <c r="M175" s="101" t="s">
        <v>595</v>
      </c>
      <c r="N175" s="137">
        <f t="shared" ref="N175:N177" si="7">L175+(J175*7*4.345)</f>
        <v>41786.98</v>
      </c>
      <c r="O175" s="117"/>
    </row>
    <row r="176" spans="1:15">
      <c r="A176" s="98" t="s">
        <v>596</v>
      </c>
      <c r="B176" s="98" t="s">
        <v>597</v>
      </c>
      <c r="C176" s="98" t="s">
        <v>24</v>
      </c>
      <c r="D176" s="98" t="s">
        <v>593</v>
      </c>
      <c r="E176" s="99" t="s">
        <v>206</v>
      </c>
      <c r="F176" s="99"/>
      <c r="G176" s="118" t="s">
        <v>594</v>
      </c>
      <c r="H176" s="99" t="s">
        <v>208</v>
      </c>
      <c r="I176" s="99" t="s">
        <v>209</v>
      </c>
      <c r="J176" s="99">
        <v>12</v>
      </c>
      <c r="K176" s="99" t="s">
        <v>210</v>
      </c>
      <c r="L176" s="102">
        <v>41422</v>
      </c>
      <c r="M176" s="101" t="s">
        <v>595</v>
      </c>
      <c r="N176" s="137">
        <f t="shared" si="7"/>
        <v>41786.98</v>
      </c>
      <c r="O176" s="117"/>
    </row>
    <row r="177" spans="1:15">
      <c r="A177" s="98" t="s">
        <v>598</v>
      </c>
      <c r="B177" s="98" t="s">
        <v>599</v>
      </c>
      <c r="C177" s="98" t="s">
        <v>24</v>
      </c>
      <c r="D177" s="98" t="s">
        <v>600</v>
      </c>
      <c r="E177" s="99" t="s">
        <v>206</v>
      </c>
      <c r="F177" s="99"/>
      <c r="G177" s="118" t="s">
        <v>601</v>
      </c>
      <c r="H177" s="99" t="s">
        <v>208</v>
      </c>
      <c r="I177" s="99" t="s">
        <v>209</v>
      </c>
      <c r="J177" s="99">
        <v>12</v>
      </c>
      <c r="K177" s="99" t="s">
        <v>210</v>
      </c>
      <c r="L177" s="102">
        <v>41410</v>
      </c>
      <c r="M177" s="101" t="s">
        <v>595</v>
      </c>
      <c r="N177" s="137">
        <f t="shared" si="7"/>
        <v>41774.98</v>
      </c>
      <c r="O177" s="102"/>
    </row>
    <row r="178" spans="1:15">
      <c r="A178" s="98" t="s">
        <v>602</v>
      </c>
      <c r="B178" s="98" t="s">
        <v>603</v>
      </c>
      <c r="C178" s="98" t="s">
        <v>24</v>
      </c>
      <c r="D178" s="98" t="s">
        <v>600</v>
      </c>
      <c r="E178" s="99" t="s">
        <v>206</v>
      </c>
      <c r="F178" s="99"/>
      <c r="G178" s="118" t="s">
        <v>601</v>
      </c>
      <c r="H178" s="99" t="s">
        <v>208</v>
      </c>
      <c r="I178" s="99" t="s">
        <v>209</v>
      </c>
      <c r="J178" s="99">
        <v>24</v>
      </c>
      <c r="K178" s="99" t="s">
        <v>335</v>
      </c>
      <c r="L178" s="100"/>
      <c r="M178" s="101"/>
      <c r="N178" s="137"/>
      <c r="O178" s="102"/>
    </row>
    <row r="179" spans="1:15">
      <c r="A179" s="98" t="s">
        <v>604</v>
      </c>
      <c r="B179" s="98" t="s">
        <v>605</v>
      </c>
      <c r="C179" s="98" t="s">
        <v>24</v>
      </c>
      <c r="D179" s="98" t="s">
        <v>600</v>
      </c>
      <c r="E179" s="99" t="s">
        <v>606</v>
      </c>
      <c r="F179" s="99"/>
      <c r="G179" s="118" t="s">
        <v>601</v>
      </c>
      <c r="H179" s="99" t="s">
        <v>208</v>
      </c>
      <c r="I179" s="99" t="s">
        <v>209</v>
      </c>
      <c r="J179" s="99">
        <v>60</v>
      </c>
      <c r="K179" s="99" t="s">
        <v>335</v>
      </c>
      <c r="L179" s="100"/>
      <c r="M179" s="101"/>
      <c r="N179" s="137"/>
      <c r="O179" s="102"/>
    </row>
    <row r="180" spans="1:15">
      <c r="A180" s="98" t="s">
        <v>607</v>
      </c>
      <c r="B180" s="98" t="s">
        <v>608</v>
      </c>
      <c r="C180" s="98" t="s">
        <v>24</v>
      </c>
      <c r="D180" s="98" t="s">
        <v>609</v>
      </c>
      <c r="E180" s="99" t="s">
        <v>610</v>
      </c>
      <c r="F180" s="99"/>
      <c r="G180" s="118" t="s">
        <v>601</v>
      </c>
      <c r="H180" s="99" t="s">
        <v>208</v>
      </c>
      <c r="I180" s="99" t="s">
        <v>209</v>
      </c>
      <c r="J180" s="99">
        <v>60</v>
      </c>
      <c r="K180" s="99" t="s">
        <v>210</v>
      </c>
      <c r="L180" s="102">
        <v>41410</v>
      </c>
      <c r="M180" s="101" t="s">
        <v>595</v>
      </c>
      <c r="N180" s="137">
        <f t="shared" ref="N180:N187" si="8">L180+(J180*7*4.345)</f>
        <v>43234.9</v>
      </c>
      <c r="O180" s="102"/>
    </row>
    <row r="181" spans="1:15">
      <c r="A181" s="98" t="s">
        <v>611</v>
      </c>
      <c r="B181" s="98" t="s">
        <v>612</v>
      </c>
      <c r="C181" s="98" t="s">
        <v>24</v>
      </c>
      <c r="D181" s="98" t="s">
        <v>613</v>
      </c>
      <c r="E181" s="99" t="s">
        <v>266</v>
      </c>
      <c r="F181" s="99"/>
      <c r="G181" s="118" t="s">
        <v>614</v>
      </c>
      <c r="H181" s="99" t="s">
        <v>208</v>
      </c>
      <c r="I181" s="99" t="s">
        <v>209</v>
      </c>
      <c r="J181" s="99">
        <v>12</v>
      </c>
      <c r="K181" s="99" t="s">
        <v>210</v>
      </c>
      <c r="L181" s="102">
        <v>41409</v>
      </c>
      <c r="M181" s="101" t="s">
        <v>595</v>
      </c>
      <c r="N181" s="137">
        <f t="shared" si="8"/>
        <v>41773.98</v>
      </c>
      <c r="O181" s="102"/>
    </row>
    <row r="182" spans="1:15">
      <c r="A182" s="98" t="s">
        <v>615</v>
      </c>
      <c r="B182" s="98" t="s">
        <v>616</v>
      </c>
      <c r="C182" s="98" t="s">
        <v>24</v>
      </c>
      <c r="D182" s="98" t="s">
        <v>613</v>
      </c>
      <c r="E182" s="99" t="s">
        <v>266</v>
      </c>
      <c r="F182" s="99"/>
      <c r="G182" s="118" t="s">
        <v>614</v>
      </c>
      <c r="H182" s="99" t="s">
        <v>208</v>
      </c>
      <c r="I182" s="99" t="s">
        <v>209</v>
      </c>
      <c r="J182" s="99">
        <v>12</v>
      </c>
      <c r="K182" s="99" t="s">
        <v>210</v>
      </c>
      <c r="L182" s="102">
        <v>41409</v>
      </c>
      <c r="M182" s="101" t="s">
        <v>595</v>
      </c>
      <c r="N182" s="100">
        <f t="shared" si="8"/>
        <v>41773.98</v>
      </c>
      <c r="O182" s="102"/>
    </row>
    <row r="183" spans="1:15">
      <c r="A183" s="98" t="s">
        <v>617</v>
      </c>
      <c r="B183" s="98" t="s">
        <v>618</v>
      </c>
      <c r="C183" s="98" t="s">
        <v>24</v>
      </c>
      <c r="D183" s="98" t="s">
        <v>613</v>
      </c>
      <c r="E183" s="99" t="s">
        <v>266</v>
      </c>
      <c r="F183" s="99"/>
      <c r="G183" s="118" t="s">
        <v>614</v>
      </c>
      <c r="H183" s="99" t="s">
        <v>208</v>
      </c>
      <c r="I183" s="99" t="s">
        <v>209</v>
      </c>
      <c r="J183" s="99">
        <v>12</v>
      </c>
      <c r="K183" s="99" t="s">
        <v>210</v>
      </c>
      <c r="L183" s="102">
        <v>41409</v>
      </c>
      <c r="M183" s="101" t="s">
        <v>595</v>
      </c>
      <c r="N183" s="100">
        <f t="shared" si="8"/>
        <v>41773.98</v>
      </c>
      <c r="O183" s="117"/>
    </row>
    <row r="184" spans="1:15">
      <c r="A184" s="98" t="s">
        <v>619</v>
      </c>
      <c r="B184" s="98" t="s">
        <v>620</v>
      </c>
      <c r="C184" s="98" t="s">
        <v>24</v>
      </c>
      <c r="D184" s="98" t="s">
        <v>613</v>
      </c>
      <c r="E184" s="99" t="s">
        <v>266</v>
      </c>
      <c r="F184" s="99"/>
      <c r="G184" s="118" t="s">
        <v>614</v>
      </c>
      <c r="H184" s="99" t="s">
        <v>208</v>
      </c>
      <c r="I184" s="99" t="s">
        <v>209</v>
      </c>
      <c r="J184" s="99">
        <v>12</v>
      </c>
      <c r="K184" s="99" t="s">
        <v>210</v>
      </c>
      <c r="L184" s="102">
        <v>41407</v>
      </c>
      <c r="M184" s="101" t="s">
        <v>595</v>
      </c>
      <c r="N184" s="100">
        <f t="shared" si="8"/>
        <v>41771.98</v>
      </c>
      <c r="O184" s="117"/>
    </row>
    <row r="185" spans="1:15">
      <c r="A185" s="98" t="s">
        <v>621</v>
      </c>
      <c r="B185" s="98" t="s">
        <v>622</v>
      </c>
      <c r="C185" s="98" t="s">
        <v>24</v>
      </c>
      <c r="D185" s="98" t="s">
        <v>623</v>
      </c>
      <c r="E185" s="99" t="s">
        <v>266</v>
      </c>
      <c r="F185" s="99"/>
      <c r="G185" s="118" t="s">
        <v>614</v>
      </c>
      <c r="H185" s="99" t="s">
        <v>208</v>
      </c>
      <c r="I185" s="99" t="s">
        <v>209</v>
      </c>
      <c r="J185" s="99">
        <v>12</v>
      </c>
      <c r="K185" s="99" t="s">
        <v>210</v>
      </c>
      <c r="L185" s="102">
        <v>41407</v>
      </c>
      <c r="M185" s="101" t="s">
        <v>595</v>
      </c>
      <c r="N185" s="100">
        <f t="shared" si="8"/>
        <v>41771.98</v>
      </c>
      <c r="O185" s="117"/>
    </row>
    <row r="186" spans="1:15">
      <c r="A186" s="98" t="s">
        <v>624</v>
      </c>
      <c r="B186" s="98" t="s">
        <v>625</v>
      </c>
      <c r="C186" s="98" t="s">
        <v>24</v>
      </c>
      <c r="D186" s="98" t="s">
        <v>623</v>
      </c>
      <c r="E186" s="99" t="s">
        <v>626</v>
      </c>
      <c r="F186" s="99"/>
      <c r="G186" s="118" t="s">
        <v>614</v>
      </c>
      <c r="H186" s="99" t="s">
        <v>208</v>
      </c>
      <c r="I186" s="99" t="s">
        <v>209</v>
      </c>
      <c r="J186" s="99">
        <v>12</v>
      </c>
      <c r="K186" s="103" t="s">
        <v>210</v>
      </c>
      <c r="L186" s="102">
        <v>41407</v>
      </c>
      <c r="M186" s="101" t="s">
        <v>595</v>
      </c>
      <c r="N186" s="100">
        <f t="shared" si="8"/>
        <v>41771.98</v>
      </c>
      <c r="O186" s="102"/>
    </row>
    <row r="187" spans="1:15">
      <c r="A187" s="98" t="s">
        <v>627</v>
      </c>
      <c r="B187" s="98" t="s">
        <v>628</v>
      </c>
      <c r="C187" s="98" t="s">
        <v>24</v>
      </c>
      <c r="D187" s="98" t="s">
        <v>623</v>
      </c>
      <c r="E187" s="99" t="s">
        <v>626</v>
      </c>
      <c r="F187" s="99"/>
      <c r="G187" s="118" t="s">
        <v>614</v>
      </c>
      <c r="H187" s="99" t="s">
        <v>208</v>
      </c>
      <c r="I187" s="99" t="s">
        <v>209</v>
      </c>
      <c r="J187" s="99">
        <v>12</v>
      </c>
      <c r="K187" s="103" t="s">
        <v>210</v>
      </c>
      <c r="L187" s="102">
        <v>41407</v>
      </c>
      <c r="M187" s="101" t="s">
        <v>595</v>
      </c>
      <c r="N187" s="100">
        <f t="shared" si="8"/>
        <v>41771.98</v>
      </c>
      <c r="O187" s="102"/>
    </row>
    <row r="188" spans="1:15">
      <c r="A188" s="98" t="s">
        <v>629</v>
      </c>
      <c r="B188" s="98" t="s">
        <v>630</v>
      </c>
      <c r="C188" s="98" t="s">
        <v>24</v>
      </c>
      <c r="D188" s="98" t="s">
        <v>631</v>
      </c>
      <c r="E188" s="99" t="s">
        <v>626</v>
      </c>
      <c r="F188" s="99"/>
      <c r="G188" s="118"/>
      <c r="H188" s="99" t="s">
        <v>215</v>
      </c>
      <c r="I188" s="99"/>
      <c r="J188" s="99">
        <v>12</v>
      </c>
      <c r="K188" s="103" t="s">
        <v>210</v>
      </c>
      <c r="L188" s="100"/>
      <c r="M188" s="119"/>
      <c r="N188" s="100"/>
      <c r="O188" s="102"/>
    </row>
    <row r="189" spans="1:15">
      <c r="A189" s="98" t="s">
        <v>632</v>
      </c>
      <c r="B189" s="98" t="s">
        <v>633</v>
      </c>
      <c r="C189" s="98" t="s">
        <v>24</v>
      </c>
      <c r="D189" s="98" t="s">
        <v>634</v>
      </c>
      <c r="E189" s="99" t="s">
        <v>626</v>
      </c>
      <c r="F189" s="99"/>
      <c r="G189" s="118" t="s">
        <v>635</v>
      </c>
      <c r="H189" s="99" t="s">
        <v>208</v>
      </c>
      <c r="I189" s="99" t="s">
        <v>209</v>
      </c>
      <c r="J189" s="99">
        <v>12</v>
      </c>
      <c r="K189" s="103" t="s">
        <v>210</v>
      </c>
      <c r="L189" s="102">
        <v>41407</v>
      </c>
      <c r="M189" s="101" t="s">
        <v>595</v>
      </c>
      <c r="N189" s="100">
        <f t="shared" ref="N189:N197" si="9">L189+(J189*7*4.345)</f>
        <v>41771.98</v>
      </c>
      <c r="O189" s="102"/>
    </row>
    <row r="190" spans="1:15">
      <c r="A190" s="98" t="s">
        <v>636</v>
      </c>
      <c r="B190" s="98" t="s">
        <v>637</v>
      </c>
      <c r="C190" s="98" t="s">
        <v>24</v>
      </c>
      <c r="D190" s="98" t="s">
        <v>634</v>
      </c>
      <c r="E190" s="99" t="s">
        <v>626</v>
      </c>
      <c r="F190" s="99"/>
      <c r="G190" s="118" t="s">
        <v>635</v>
      </c>
      <c r="H190" s="99" t="s">
        <v>208</v>
      </c>
      <c r="I190" s="99" t="s">
        <v>209</v>
      </c>
      <c r="J190" s="99">
        <v>12</v>
      </c>
      <c r="K190" s="103" t="s">
        <v>210</v>
      </c>
      <c r="L190" s="102">
        <v>41407</v>
      </c>
      <c r="M190" s="101" t="s">
        <v>595</v>
      </c>
      <c r="N190" s="100">
        <f t="shared" si="9"/>
        <v>41771.98</v>
      </c>
      <c r="O190" s="102"/>
    </row>
    <row r="191" spans="1:15">
      <c r="A191" s="98" t="s">
        <v>638</v>
      </c>
      <c r="B191" s="98" t="s">
        <v>639</v>
      </c>
      <c r="C191" s="98" t="s">
        <v>24</v>
      </c>
      <c r="D191" s="98" t="s">
        <v>634</v>
      </c>
      <c r="E191" s="99" t="s">
        <v>626</v>
      </c>
      <c r="F191" s="99"/>
      <c r="G191" s="118" t="s">
        <v>635</v>
      </c>
      <c r="H191" s="99" t="s">
        <v>208</v>
      </c>
      <c r="I191" s="99" t="s">
        <v>209</v>
      </c>
      <c r="J191" s="99">
        <v>12</v>
      </c>
      <c r="K191" s="99" t="s">
        <v>210</v>
      </c>
      <c r="L191" s="102">
        <v>41407</v>
      </c>
      <c r="M191" s="101" t="s">
        <v>595</v>
      </c>
      <c r="N191" s="100">
        <f t="shared" si="9"/>
        <v>41771.98</v>
      </c>
      <c r="O191" s="102"/>
    </row>
    <row r="192" spans="1:15">
      <c r="A192" s="98" t="s">
        <v>640</v>
      </c>
      <c r="B192" s="98" t="s">
        <v>641</v>
      </c>
      <c r="C192" s="98" t="s">
        <v>24</v>
      </c>
      <c r="D192" s="98" t="s">
        <v>634</v>
      </c>
      <c r="E192" s="99" t="s">
        <v>626</v>
      </c>
      <c r="F192" s="99"/>
      <c r="G192" s="118" t="s">
        <v>635</v>
      </c>
      <c r="H192" s="99" t="s">
        <v>208</v>
      </c>
      <c r="I192" s="99" t="s">
        <v>209</v>
      </c>
      <c r="J192" s="99">
        <v>12</v>
      </c>
      <c r="K192" s="99" t="s">
        <v>210</v>
      </c>
      <c r="L192" s="102">
        <v>41407</v>
      </c>
      <c r="M192" s="101" t="s">
        <v>595</v>
      </c>
      <c r="N192" s="100">
        <f t="shared" si="9"/>
        <v>41771.98</v>
      </c>
      <c r="O192" s="102"/>
    </row>
    <row r="193" spans="1:15">
      <c r="A193" s="98" t="s">
        <v>642</v>
      </c>
      <c r="B193" s="98" t="s">
        <v>643</v>
      </c>
      <c r="C193" s="98" t="s">
        <v>24</v>
      </c>
      <c r="D193" s="98" t="s">
        <v>644</v>
      </c>
      <c r="E193" s="99" t="s">
        <v>626</v>
      </c>
      <c r="F193" s="99"/>
      <c r="G193" s="118" t="s">
        <v>635</v>
      </c>
      <c r="H193" s="99" t="s">
        <v>208</v>
      </c>
      <c r="I193" s="99" t="s">
        <v>209</v>
      </c>
      <c r="J193" s="99">
        <v>12</v>
      </c>
      <c r="K193" s="99" t="s">
        <v>210</v>
      </c>
      <c r="L193" s="102">
        <v>41407</v>
      </c>
      <c r="M193" s="101" t="s">
        <v>595</v>
      </c>
      <c r="N193" s="100">
        <f t="shared" si="9"/>
        <v>41771.98</v>
      </c>
      <c r="O193" s="102"/>
    </row>
    <row r="194" spans="1:15">
      <c r="A194" s="98" t="s">
        <v>645</v>
      </c>
      <c r="B194" s="98" t="s">
        <v>646</v>
      </c>
      <c r="C194" s="98" t="s">
        <v>24</v>
      </c>
      <c r="D194" s="98" t="s">
        <v>644</v>
      </c>
      <c r="E194" s="99" t="s">
        <v>626</v>
      </c>
      <c r="F194" s="99"/>
      <c r="G194" s="118" t="s">
        <v>635</v>
      </c>
      <c r="H194" s="99" t="s">
        <v>208</v>
      </c>
      <c r="I194" s="99" t="s">
        <v>209</v>
      </c>
      <c r="J194" s="99">
        <v>12</v>
      </c>
      <c r="K194" s="99" t="s">
        <v>210</v>
      </c>
      <c r="L194" s="102">
        <v>41407</v>
      </c>
      <c r="M194" s="101" t="s">
        <v>595</v>
      </c>
      <c r="N194" s="100">
        <f t="shared" si="9"/>
        <v>41771.98</v>
      </c>
      <c r="O194" s="102"/>
    </row>
    <row r="195" spans="1:15">
      <c r="A195" s="98" t="s">
        <v>647</v>
      </c>
      <c r="B195" s="98" t="s">
        <v>648</v>
      </c>
      <c r="C195" s="98" t="s">
        <v>24</v>
      </c>
      <c r="D195" s="98" t="s">
        <v>644</v>
      </c>
      <c r="E195" s="99" t="s">
        <v>626</v>
      </c>
      <c r="F195" s="99"/>
      <c r="G195" s="118" t="s">
        <v>635</v>
      </c>
      <c r="H195" s="99" t="s">
        <v>208</v>
      </c>
      <c r="I195" s="99" t="s">
        <v>209</v>
      </c>
      <c r="J195" s="99">
        <v>12</v>
      </c>
      <c r="K195" s="99" t="s">
        <v>210</v>
      </c>
      <c r="L195" s="102">
        <v>41407</v>
      </c>
      <c r="M195" s="101" t="s">
        <v>595</v>
      </c>
      <c r="N195" s="100">
        <f t="shared" si="9"/>
        <v>41771.98</v>
      </c>
      <c r="O195" s="102"/>
    </row>
    <row r="196" spans="1:15">
      <c r="A196" s="98" t="s">
        <v>649</v>
      </c>
      <c r="B196" s="98" t="s">
        <v>650</v>
      </c>
      <c r="C196" s="98" t="s">
        <v>24</v>
      </c>
      <c r="D196" s="98" t="s">
        <v>644</v>
      </c>
      <c r="E196" s="99" t="s">
        <v>626</v>
      </c>
      <c r="F196" s="99"/>
      <c r="G196" s="118" t="s">
        <v>635</v>
      </c>
      <c r="H196" s="99" t="s">
        <v>208</v>
      </c>
      <c r="I196" s="99" t="s">
        <v>209</v>
      </c>
      <c r="J196" s="99">
        <v>12</v>
      </c>
      <c r="K196" s="99" t="s">
        <v>210</v>
      </c>
      <c r="L196" s="102">
        <v>41407</v>
      </c>
      <c r="M196" s="101" t="s">
        <v>595</v>
      </c>
      <c r="N196" s="100">
        <f t="shared" si="9"/>
        <v>41771.98</v>
      </c>
      <c r="O196" s="102"/>
    </row>
    <row r="197" spans="1:15">
      <c r="A197" s="98" t="s">
        <v>651</v>
      </c>
      <c r="B197" s="98" t="s">
        <v>652</v>
      </c>
      <c r="C197" s="98" t="s">
        <v>24</v>
      </c>
      <c r="D197" s="98" t="s">
        <v>644</v>
      </c>
      <c r="E197" s="99" t="s">
        <v>626</v>
      </c>
      <c r="F197" s="99"/>
      <c r="G197" s="118" t="s">
        <v>635</v>
      </c>
      <c r="H197" s="99" t="s">
        <v>208</v>
      </c>
      <c r="I197" s="99" t="s">
        <v>209</v>
      </c>
      <c r="J197" s="99">
        <v>12</v>
      </c>
      <c r="K197" s="99" t="s">
        <v>210</v>
      </c>
      <c r="L197" s="102">
        <v>41407</v>
      </c>
      <c r="M197" s="101" t="s">
        <v>595</v>
      </c>
      <c r="N197" s="100">
        <f t="shared" si="9"/>
        <v>41771.98</v>
      </c>
      <c r="O197" s="102"/>
    </row>
    <row r="198" spans="1:15">
      <c r="A198" s="98" t="s">
        <v>653</v>
      </c>
      <c r="B198" s="98" t="s">
        <v>654</v>
      </c>
      <c r="C198" s="98" t="s">
        <v>24</v>
      </c>
      <c r="D198" s="98" t="s">
        <v>655</v>
      </c>
      <c r="E198" s="99" t="s">
        <v>626</v>
      </c>
      <c r="F198" s="99"/>
      <c r="G198" s="99" t="s">
        <v>275</v>
      </c>
      <c r="H198" s="99" t="s">
        <v>208</v>
      </c>
      <c r="I198" s="99" t="s">
        <v>209</v>
      </c>
      <c r="J198" s="99">
        <v>12</v>
      </c>
      <c r="K198" s="99" t="s">
        <v>210</v>
      </c>
      <c r="L198" s="100"/>
      <c r="M198" s="119"/>
      <c r="N198" s="100"/>
      <c r="O198" s="102"/>
    </row>
    <row r="199" spans="1:15">
      <c r="A199" s="98" t="s">
        <v>656</v>
      </c>
      <c r="B199" s="98" t="s">
        <v>657</v>
      </c>
      <c r="C199" s="98" t="s">
        <v>24</v>
      </c>
      <c r="D199" s="98" t="s">
        <v>282</v>
      </c>
      <c r="E199" s="99" t="s">
        <v>626</v>
      </c>
      <c r="F199" s="99"/>
      <c r="G199" s="99" t="s">
        <v>275</v>
      </c>
      <c r="H199" s="99" t="s">
        <v>208</v>
      </c>
      <c r="I199" s="99" t="s">
        <v>209</v>
      </c>
      <c r="J199" s="99">
        <v>12</v>
      </c>
      <c r="K199" s="99" t="s">
        <v>210</v>
      </c>
      <c r="L199" s="100"/>
      <c r="M199" s="119"/>
      <c r="N199" s="100"/>
      <c r="O199" s="102"/>
    </row>
    <row r="200" spans="1:15">
      <c r="A200" s="98" t="s">
        <v>658</v>
      </c>
      <c r="B200" s="98" t="s">
        <v>659</v>
      </c>
      <c r="C200" s="98" t="s">
        <v>24</v>
      </c>
      <c r="D200" s="98" t="s">
        <v>285</v>
      </c>
      <c r="E200" s="99" t="s">
        <v>660</v>
      </c>
      <c r="F200" s="99"/>
      <c r="G200" s="99" t="s">
        <v>275</v>
      </c>
      <c r="H200" s="99" t="s">
        <v>208</v>
      </c>
      <c r="I200" s="99" t="s">
        <v>209</v>
      </c>
      <c r="J200" s="99">
        <v>12</v>
      </c>
      <c r="K200" s="99" t="s">
        <v>210</v>
      </c>
      <c r="L200" s="100"/>
      <c r="M200" s="119"/>
      <c r="N200" s="100"/>
      <c r="O200" s="102"/>
    </row>
    <row r="201" spans="1:15">
      <c r="A201" s="98" t="s">
        <v>661</v>
      </c>
      <c r="B201" s="98" t="s">
        <v>662</v>
      </c>
      <c r="C201" s="98" t="s">
        <v>24</v>
      </c>
      <c r="D201" s="98" t="s">
        <v>290</v>
      </c>
      <c r="E201" s="99" t="s">
        <v>626</v>
      </c>
      <c r="F201" s="99"/>
      <c r="G201" s="99" t="s">
        <v>275</v>
      </c>
      <c r="H201" s="99" t="s">
        <v>208</v>
      </c>
      <c r="I201" s="99" t="s">
        <v>209</v>
      </c>
      <c r="J201" s="99">
        <v>12</v>
      </c>
      <c r="K201" s="99" t="s">
        <v>210</v>
      </c>
      <c r="L201" s="100"/>
      <c r="M201" s="115"/>
      <c r="N201" s="100"/>
      <c r="O201" s="102"/>
    </row>
    <row r="202" spans="1:15">
      <c r="A202" s="98" t="s">
        <v>663</v>
      </c>
      <c r="B202" s="98" t="s">
        <v>664</v>
      </c>
      <c r="C202" s="98" t="s">
        <v>24</v>
      </c>
      <c r="D202" s="98" t="s">
        <v>293</v>
      </c>
      <c r="E202" s="99" t="s">
        <v>626</v>
      </c>
      <c r="F202" s="99"/>
      <c r="G202" s="99" t="s">
        <v>275</v>
      </c>
      <c r="H202" s="99" t="s">
        <v>208</v>
      </c>
      <c r="I202" s="99" t="s">
        <v>209</v>
      </c>
      <c r="J202" s="99">
        <v>12</v>
      </c>
      <c r="K202" s="99" t="s">
        <v>210</v>
      </c>
      <c r="L202" s="100"/>
      <c r="M202" s="115"/>
      <c r="N202" s="100"/>
      <c r="O202" s="102"/>
    </row>
    <row r="203" spans="1:15">
      <c r="A203" s="98" t="s">
        <v>665</v>
      </c>
      <c r="B203" s="120" t="s">
        <v>666</v>
      </c>
      <c r="C203" s="120" t="s">
        <v>24</v>
      </c>
      <c r="D203" s="98" t="s">
        <v>296</v>
      </c>
      <c r="E203" s="99" t="s">
        <v>626</v>
      </c>
      <c r="F203" s="99"/>
      <c r="G203" s="99" t="s">
        <v>275</v>
      </c>
      <c r="H203" s="99" t="s">
        <v>208</v>
      </c>
      <c r="I203" s="99" t="s">
        <v>209</v>
      </c>
      <c r="J203" s="99">
        <v>12</v>
      </c>
      <c r="K203" s="99" t="s">
        <v>210</v>
      </c>
      <c r="L203" s="100"/>
      <c r="M203" s="115"/>
      <c r="N203" s="100"/>
      <c r="O203" s="102"/>
    </row>
    <row r="204" spans="1:15">
      <c r="A204" s="98" t="s">
        <v>667</v>
      </c>
      <c r="B204" s="120" t="s">
        <v>668</v>
      </c>
      <c r="C204" s="98" t="s">
        <v>24</v>
      </c>
      <c r="D204" s="98" t="s">
        <v>669</v>
      </c>
      <c r="E204" s="99" t="s">
        <v>626</v>
      </c>
      <c r="F204" s="99"/>
      <c r="G204" s="99" t="s">
        <v>275</v>
      </c>
      <c r="H204" s="99" t="s">
        <v>208</v>
      </c>
      <c r="I204" s="99" t="s">
        <v>209</v>
      </c>
      <c r="J204" s="99">
        <v>12</v>
      </c>
      <c r="K204" s="99" t="s">
        <v>210</v>
      </c>
      <c r="L204" s="100"/>
      <c r="M204" s="115"/>
      <c r="N204" s="100"/>
      <c r="O204" s="102"/>
    </row>
    <row r="205" spans="1:15">
      <c r="A205" s="98" t="s">
        <v>670</v>
      </c>
      <c r="B205" s="120" t="s">
        <v>671</v>
      </c>
      <c r="C205" s="98" t="s">
        <v>24</v>
      </c>
      <c r="D205" s="98" t="s">
        <v>672</v>
      </c>
      <c r="E205" s="99" t="s">
        <v>626</v>
      </c>
      <c r="F205" s="99"/>
      <c r="G205" s="99" t="s">
        <v>275</v>
      </c>
      <c r="H205" s="99" t="s">
        <v>208</v>
      </c>
      <c r="I205" s="99" t="s">
        <v>209</v>
      </c>
      <c r="J205" s="99">
        <v>12</v>
      </c>
      <c r="K205" s="103" t="s">
        <v>210</v>
      </c>
      <c r="L205" s="100"/>
      <c r="M205" s="115"/>
      <c r="N205" s="100"/>
      <c r="O205" s="102"/>
    </row>
    <row r="206" spans="1:15">
      <c r="A206" s="98" t="s">
        <v>673</v>
      </c>
      <c r="B206" s="120" t="s">
        <v>674</v>
      </c>
      <c r="C206" s="98" t="s">
        <v>24</v>
      </c>
      <c r="D206" s="98" t="s">
        <v>675</v>
      </c>
      <c r="E206" s="99" t="s">
        <v>626</v>
      </c>
      <c r="F206" s="99"/>
      <c r="G206" s="99" t="s">
        <v>275</v>
      </c>
      <c r="H206" s="99" t="s">
        <v>208</v>
      </c>
      <c r="I206" s="99" t="s">
        <v>209</v>
      </c>
      <c r="J206" s="99">
        <v>12</v>
      </c>
      <c r="K206" s="103" t="s">
        <v>210</v>
      </c>
      <c r="L206" s="100"/>
      <c r="M206" s="115"/>
      <c r="N206" s="100"/>
      <c r="O206" s="102" t="s">
        <v>676</v>
      </c>
    </row>
    <row r="207" spans="1:15">
      <c r="A207" s="98" t="s">
        <v>677</v>
      </c>
      <c r="B207" s="120" t="s">
        <v>678</v>
      </c>
      <c r="C207" s="98" t="s">
        <v>27</v>
      </c>
      <c r="D207" s="98" t="s">
        <v>679</v>
      </c>
      <c r="E207" s="99" t="s">
        <v>680</v>
      </c>
      <c r="F207" s="99"/>
      <c r="G207" s="99" t="s">
        <v>275</v>
      </c>
      <c r="H207" s="99" t="s">
        <v>208</v>
      </c>
      <c r="I207" s="99" t="s">
        <v>209</v>
      </c>
      <c r="J207" s="99">
        <v>12</v>
      </c>
      <c r="K207" s="103" t="s">
        <v>210</v>
      </c>
      <c r="L207" s="100"/>
      <c r="M207" s="115"/>
      <c r="N207" s="100"/>
      <c r="O207" s="102" t="s">
        <v>544</v>
      </c>
    </row>
    <row r="208" spans="1:15">
      <c r="A208" s="98" t="s">
        <v>681</v>
      </c>
      <c r="B208" s="120" t="s">
        <v>682</v>
      </c>
      <c r="C208" s="98" t="s">
        <v>27</v>
      </c>
      <c r="D208" s="98" t="s">
        <v>683</v>
      </c>
      <c r="E208" s="99" t="s">
        <v>680</v>
      </c>
      <c r="F208" s="99"/>
      <c r="G208" s="99" t="s">
        <v>275</v>
      </c>
      <c r="H208" s="99" t="s">
        <v>208</v>
      </c>
      <c r="I208" s="99" t="s">
        <v>209</v>
      </c>
      <c r="J208" s="99">
        <v>12</v>
      </c>
      <c r="K208" s="103" t="s">
        <v>210</v>
      </c>
      <c r="L208" s="100"/>
      <c r="M208" s="115"/>
      <c r="N208" s="100"/>
      <c r="O208" s="102" t="s">
        <v>546</v>
      </c>
    </row>
    <row r="209" spans="1:15">
      <c r="A209" s="98" t="s">
        <v>684</v>
      </c>
      <c r="B209" s="120" t="s">
        <v>685</v>
      </c>
      <c r="C209" s="98" t="s">
        <v>27</v>
      </c>
      <c r="D209" s="98" t="s">
        <v>686</v>
      </c>
      <c r="E209" s="99" t="s">
        <v>680</v>
      </c>
      <c r="F209" s="99"/>
      <c r="G209" s="99" t="s">
        <v>275</v>
      </c>
      <c r="H209" s="99" t="s">
        <v>208</v>
      </c>
      <c r="I209" s="99" t="s">
        <v>209</v>
      </c>
      <c r="J209" s="99">
        <v>12</v>
      </c>
      <c r="K209" s="103" t="s">
        <v>210</v>
      </c>
      <c r="L209" s="100"/>
      <c r="M209" s="115"/>
      <c r="N209" s="100"/>
      <c r="O209" s="102"/>
    </row>
    <row r="210" spans="1:15">
      <c r="A210" s="98" t="s">
        <v>687</v>
      </c>
      <c r="B210" s="120" t="s">
        <v>688</v>
      </c>
      <c r="C210" s="98" t="s">
        <v>27</v>
      </c>
      <c r="D210" s="98" t="s">
        <v>689</v>
      </c>
      <c r="E210" s="99" t="s">
        <v>680</v>
      </c>
      <c r="F210" s="99"/>
      <c r="G210" s="99" t="s">
        <v>275</v>
      </c>
      <c r="H210" s="99" t="s">
        <v>208</v>
      </c>
      <c r="I210" s="99" t="s">
        <v>209</v>
      </c>
      <c r="J210" s="99">
        <v>12</v>
      </c>
      <c r="K210" s="103" t="s">
        <v>210</v>
      </c>
      <c r="L210" s="100"/>
      <c r="M210" s="115"/>
      <c r="N210" s="100"/>
      <c r="O210" s="102"/>
    </row>
    <row r="211" spans="1:15">
      <c r="A211" s="98" t="s">
        <v>690</v>
      </c>
      <c r="B211" s="120" t="s">
        <v>691</v>
      </c>
      <c r="C211" s="98" t="s">
        <v>27</v>
      </c>
      <c r="D211" s="98" t="s">
        <v>692</v>
      </c>
      <c r="E211" s="99" t="s">
        <v>680</v>
      </c>
      <c r="F211" s="99"/>
      <c r="G211" s="99" t="s">
        <v>275</v>
      </c>
      <c r="H211" s="99" t="s">
        <v>208</v>
      </c>
      <c r="I211" s="99" t="s">
        <v>209</v>
      </c>
      <c r="J211" s="99">
        <v>12</v>
      </c>
      <c r="K211" s="103" t="s">
        <v>210</v>
      </c>
      <c r="L211" s="100"/>
      <c r="M211" s="115"/>
      <c r="N211" s="100"/>
      <c r="O211" s="102"/>
    </row>
    <row r="212" spans="1:15">
      <c r="A212" s="98" t="s">
        <v>693</v>
      </c>
      <c r="B212" s="120" t="s">
        <v>694</v>
      </c>
      <c r="C212" s="98" t="s">
        <v>27</v>
      </c>
      <c r="D212" s="98" t="s">
        <v>695</v>
      </c>
      <c r="E212" s="99" t="s">
        <v>680</v>
      </c>
      <c r="F212" s="99"/>
      <c r="G212" s="99" t="s">
        <v>275</v>
      </c>
      <c r="H212" s="99" t="s">
        <v>208</v>
      </c>
      <c r="I212" s="99" t="s">
        <v>209</v>
      </c>
      <c r="J212" s="99">
        <v>12</v>
      </c>
      <c r="K212" s="103" t="s">
        <v>210</v>
      </c>
      <c r="L212" s="100"/>
      <c r="M212" s="115"/>
      <c r="N212" s="100"/>
      <c r="O212" s="102"/>
    </row>
    <row r="213" spans="1:15">
      <c r="A213" s="98" t="s">
        <v>696</v>
      </c>
      <c r="B213" s="120" t="s">
        <v>697</v>
      </c>
      <c r="C213" s="98" t="s">
        <v>27</v>
      </c>
      <c r="D213" s="98" t="s">
        <v>698</v>
      </c>
      <c r="E213" s="99" t="s">
        <v>680</v>
      </c>
      <c r="F213" s="99"/>
      <c r="G213" s="99" t="s">
        <v>275</v>
      </c>
      <c r="H213" s="99" t="s">
        <v>208</v>
      </c>
      <c r="I213" s="99" t="s">
        <v>209</v>
      </c>
      <c r="J213" s="99">
        <v>12</v>
      </c>
      <c r="K213" s="103" t="s">
        <v>210</v>
      </c>
      <c r="L213" s="100"/>
      <c r="M213" s="115"/>
      <c r="N213" s="100"/>
      <c r="O213" s="102"/>
    </row>
    <row r="214" spans="1:15">
      <c r="A214" s="98" t="s">
        <v>699</v>
      </c>
      <c r="B214" s="120" t="s">
        <v>700</v>
      </c>
      <c r="C214" s="98" t="s">
        <v>27</v>
      </c>
      <c r="D214" s="98" t="s">
        <v>701</v>
      </c>
      <c r="E214" s="115" t="s">
        <v>680</v>
      </c>
      <c r="F214" s="99"/>
      <c r="G214" s="99" t="s">
        <v>275</v>
      </c>
      <c r="H214" s="99" t="s">
        <v>208</v>
      </c>
      <c r="I214" s="99" t="s">
        <v>209</v>
      </c>
      <c r="J214" s="99">
        <v>12</v>
      </c>
      <c r="K214" s="103" t="s">
        <v>210</v>
      </c>
      <c r="L214" s="102"/>
      <c r="M214" s="115"/>
      <c r="N214" s="100"/>
      <c r="O214" s="117"/>
    </row>
    <row r="215" spans="1:15">
      <c r="A215" s="98" t="s">
        <v>702</v>
      </c>
      <c r="B215" s="120" t="s">
        <v>703</v>
      </c>
      <c r="C215" s="98" t="s">
        <v>27</v>
      </c>
      <c r="D215" s="98" t="s">
        <v>704</v>
      </c>
      <c r="E215" s="115" t="s">
        <v>680</v>
      </c>
      <c r="F215" s="99"/>
      <c r="G215" s="99" t="s">
        <v>275</v>
      </c>
      <c r="H215" s="99" t="s">
        <v>208</v>
      </c>
      <c r="I215" s="99" t="s">
        <v>209</v>
      </c>
      <c r="J215" s="99">
        <v>12</v>
      </c>
      <c r="K215" s="103" t="s">
        <v>210</v>
      </c>
      <c r="L215" s="102"/>
      <c r="M215" s="115"/>
      <c r="N215" s="100"/>
      <c r="O215" s="117"/>
    </row>
    <row r="216" spans="1:15">
      <c r="A216" s="98" t="s">
        <v>705</v>
      </c>
      <c r="B216" s="120" t="s">
        <v>706</v>
      </c>
      <c r="C216" s="98" t="s">
        <v>27</v>
      </c>
      <c r="D216" s="98" t="s">
        <v>707</v>
      </c>
      <c r="E216" s="115" t="s">
        <v>680</v>
      </c>
      <c r="F216" s="99"/>
      <c r="G216" s="118" t="s">
        <v>708</v>
      </c>
      <c r="H216" s="99" t="s">
        <v>208</v>
      </c>
      <c r="I216" s="99" t="s">
        <v>209</v>
      </c>
      <c r="J216" s="99">
        <v>12</v>
      </c>
      <c r="K216" s="103" t="s">
        <v>210</v>
      </c>
      <c r="L216" s="102"/>
      <c r="M216" s="115"/>
      <c r="N216" s="100"/>
      <c r="O216" s="117"/>
    </row>
    <row r="217" spans="1:15">
      <c r="A217" s="98" t="s">
        <v>709</v>
      </c>
      <c r="B217" s="120" t="s">
        <v>710</v>
      </c>
      <c r="C217" s="98" t="s">
        <v>27</v>
      </c>
      <c r="D217" s="98" t="s">
        <v>707</v>
      </c>
      <c r="E217" s="115" t="s">
        <v>680</v>
      </c>
      <c r="F217" s="99"/>
      <c r="G217" s="118" t="s">
        <v>708</v>
      </c>
      <c r="H217" s="99" t="s">
        <v>208</v>
      </c>
      <c r="I217" s="99" t="s">
        <v>209</v>
      </c>
      <c r="J217" s="99">
        <v>12</v>
      </c>
      <c r="K217" s="103" t="s">
        <v>210</v>
      </c>
      <c r="L217" s="102">
        <v>41467</v>
      </c>
      <c r="M217" s="115"/>
      <c r="N217" s="100">
        <f t="shared" ref="N217:N223" si="10">L217+(J217*7*4.345)</f>
        <v>41831.98</v>
      </c>
      <c r="O217" s="102"/>
    </row>
    <row r="218" spans="1:15">
      <c r="A218" s="98" t="s">
        <v>711</v>
      </c>
      <c r="B218" s="120" t="s">
        <v>712</v>
      </c>
      <c r="C218" s="98" t="s">
        <v>27</v>
      </c>
      <c r="D218" s="98" t="s">
        <v>707</v>
      </c>
      <c r="E218" s="115" t="s">
        <v>680</v>
      </c>
      <c r="F218" s="99"/>
      <c r="G218" s="118" t="s">
        <v>708</v>
      </c>
      <c r="H218" s="99" t="s">
        <v>208</v>
      </c>
      <c r="I218" s="99" t="s">
        <v>209</v>
      </c>
      <c r="J218" s="99">
        <v>12</v>
      </c>
      <c r="K218" s="103" t="s">
        <v>210</v>
      </c>
      <c r="L218" s="102"/>
      <c r="M218" s="115"/>
      <c r="N218" s="100"/>
      <c r="O218" s="117"/>
    </row>
    <row r="219" spans="1:15">
      <c r="A219" s="98" t="s">
        <v>713</v>
      </c>
      <c r="B219" s="120" t="s">
        <v>714</v>
      </c>
      <c r="C219" s="98" t="s">
        <v>27</v>
      </c>
      <c r="D219" s="98" t="s">
        <v>707</v>
      </c>
      <c r="E219" s="115" t="s">
        <v>680</v>
      </c>
      <c r="F219" s="99"/>
      <c r="G219" s="118" t="s">
        <v>708</v>
      </c>
      <c r="H219" s="99" t="s">
        <v>208</v>
      </c>
      <c r="I219" s="99" t="s">
        <v>209</v>
      </c>
      <c r="J219" s="99">
        <v>12</v>
      </c>
      <c r="K219" s="103" t="s">
        <v>210</v>
      </c>
      <c r="L219" s="102"/>
      <c r="M219" s="115"/>
      <c r="N219" s="100"/>
      <c r="O219" s="117"/>
    </row>
    <row r="220" spans="1:15">
      <c r="A220" s="98" t="s">
        <v>715</v>
      </c>
      <c r="B220" s="120" t="s">
        <v>716</v>
      </c>
      <c r="C220" s="98" t="s">
        <v>27</v>
      </c>
      <c r="D220" s="98" t="s">
        <v>707</v>
      </c>
      <c r="E220" s="115" t="s">
        <v>680</v>
      </c>
      <c r="F220" s="99"/>
      <c r="G220" s="118" t="s">
        <v>708</v>
      </c>
      <c r="H220" s="99" t="s">
        <v>208</v>
      </c>
      <c r="I220" s="99" t="s">
        <v>209</v>
      </c>
      <c r="J220" s="99">
        <v>12</v>
      </c>
      <c r="K220" s="103" t="s">
        <v>210</v>
      </c>
      <c r="L220" s="102"/>
      <c r="M220" s="115"/>
      <c r="N220" s="100"/>
      <c r="O220" s="117"/>
    </row>
    <row r="221" spans="1:15">
      <c r="A221" s="98" t="s">
        <v>717</v>
      </c>
      <c r="B221" s="120" t="s">
        <v>718</v>
      </c>
      <c r="C221" s="98" t="s">
        <v>27</v>
      </c>
      <c r="D221" s="98" t="s">
        <v>707</v>
      </c>
      <c r="E221" s="115" t="s">
        <v>680</v>
      </c>
      <c r="F221" s="99"/>
      <c r="G221" s="118" t="s">
        <v>708</v>
      </c>
      <c r="H221" s="99" t="s">
        <v>208</v>
      </c>
      <c r="I221" s="99" t="s">
        <v>209</v>
      </c>
      <c r="J221" s="99">
        <v>12</v>
      </c>
      <c r="K221" s="103" t="s">
        <v>210</v>
      </c>
      <c r="L221" s="102">
        <v>41467</v>
      </c>
      <c r="M221" s="115"/>
      <c r="N221" s="100">
        <f t="shared" si="10"/>
        <v>41831.98</v>
      </c>
      <c r="O221" s="117"/>
    </row>
    <row r="222" spans="1:15">
      <c r="A222" s="98" t="s">
        <v>719</v>
      </c>
      <c r="B222" s="120" t="s">
        <v>720</v>
      </c>
      <c r="C222" s="98" t="s">
        <v>27</v>
      </c>
      <c r="D222" s="98" t="s">
        <v>707</v>
      </c>
      <c r="E222" s="115" t="s">
        <v>680</v>
      </c>
      <c r="F222" s="99"/>
      <c r="G222" s="118" t="s">
        <v>708</v>
      </c>
      <c r="H222" s="99" t="s">
        <v>208</v>
      </c>
      <c r="I222" s="99" t="s">
        <v>209</v>
      </c>
      <c r="J222" s="99">
        <v>12</v>
      </c>
      <c r="K222" s="103" t="s">
        <v>210</v>
      </c>
      <c r="L222" s="102">
        <v>41467</v>
      </c>
      <c r="M222" s="101"/>
      <c r="N222" s="100">
        <f t="shared" si="10"/>
        <v>41831.98</v>
      </c>
      <c r="O222" s="117"/>
    </row>
    <row r="223" spans="1:15">
      <c r="A223" s="98" t="s">
        <v>721</v>
      </c>
      <c r="B223" s="120" t="s">
        <v>722</v>
      </c>
      <c r="C223" s="98" t="s">
        <v>27</v>
      </c>
      <c r="D223" s="98" t="s">
        <v>707</v>
      </c>
      <c r="E223" s="115" t="s">
        <v>680</v>
      </c>
      <c r="F223" s="99"/>
      <c r="G223" s="118" t="s">
        <v>708</v>
      </c>
      <c r="H223" s="99" t="s">
        <v>208</v>
      </c>
      <c r="I223" s="99" t="s">
        <v>209</v>
      </c>
      <c r="J223" s="99">
        <v>12</v>
      </c>
      <c r="K223" s="103" t="s">
        <v>210</v>
      </c>
      <c r="L223" s="102">
        <v>41467</v>
      </c>
      <c r="M223" s="101"/>
      <c r="N223" s="100">
        <f t="shared" si="10"/>
        <v>41831.98</v>
      </c>
      <c r="O223" s="117"/>
    </row>
    <row r="224" spans="1:15">
      <c r="A224" s="98" t="s">
        <v>723</v>
      </c>
      <c r="B224" s="120" t="s">
        <v>724</v>
      </c>
      <c r="C224" s="98" t="s">
        <v>27</v>
      </c>
      <c r="D224" s="98" t="s">
        <v>707</v>
      </c>
      <c r="E224" s="115" t="s">
        <v>680</v>
      </c>
      <c r="F224" s="99"/>
      <c r="G224" s="118" t="s">
        <v>708</v>
      </c>
      <c r="H224" s="99" t="s">
        <v>208</v>
      </c>
      <c r="I224" s="99" t="s">
        <v>209</v>
      </c>
      <c r="J224" s="99">
        <v>12</v>
      </c>
      <c r="K224" s="103" t="s">
        <v>210</v>
      </c>
      <c r="L224" s="102"/>
      <c r="M224" s="101"/>
      <c r="N224" s="100"/>
      <c r="O224" s="102"/>
    </row>
    <row r="225" spans="1:15">
      <c r="A225" s="98" t="s">
        <v>725</v>
      </c>
      <c r="B225" s="120" t="s">
        <v>726</v>
      </c>
      <c r="C225" s="98" t="s">
        <v>27</v>
      </c>
      <c r="D225" s="98" t="s">
        <v>707</v>
      </c>
      <c r="E225" s="115" t="s">
        <v>680</v>
      </c>
      <c r="F225" s="99"/>
      <c r="G225" s="118" t="s">
        <v>708</v>
      </c>
      <c r="H225" s="99" t="s">
        <v>208</v>
      </c>
      <c r="I225" s="99" t="s">
        <v>209</v>
      </c>
      <c r="J225" s="99">
        <v>12</v>
      </c>
      <c r="K225" s="103" t="s">
        <v>210</v>
      </c>
      <c r="L225" s="102">
        <v>41467</v>
      </c>
      <c r="M225" s="101"/>
      <c r="N225" s="100">
        <f>L225+(J225*7*4.345)</f>
        <v>41831.98</v>
      </c>
      <c r="O225" s="117"/>
    </row>
    <row r="226" spans="1:15">
      <c r="A226" s="98" t="s">
        <v>727</v>
      </c>
      <c r="B226" s="120" t="s">
        <v>728</v>
      </c>
      <c r="C226" s="98" t="s">
        <v>27</v>
      </c>
      <c r="D226" s="98" t="s">
        <v>729</v>
      </c>
      <c r="E226" s="115" t="s">
        <v>680</v>
      </c>
      <c r="F226" s="99"/>
      <c r="G226" s="118" t="s">
        <v>730</v>
      </c>
      <c r="H226" s="99" t="s">
        <v>208</v>
      </c>
      <c r="I226" s="99" t="s">
        <v>209</v>
      </c>
      <c r="J226" s="99">
        <v>12</v>
      </c>
      <c r="K226" s="103" t="s">
        <v>210</v>
      </c>
      <c r="L226" s="102"/>
      <c r="M226" s="101"/>
      <c r="N226" s="100"/>
      <c r="O226" s="117"/>
    </row>
    <row r="227" spans="1:15">
      <c r="A227" s="98" t="s">
        <v>731</v>
      </c>
      <c r="B227" s="98" t="s">
        <v>732</v>
      </c>
      <c r="C227" s="98" t="s">
        <v>27</v>
      </c>
      <c r="D227" s="98" t="s">
        <v>733</v>
      </c>
      <c r="E227" s="115" t="s">
        <v>680</v>
      </c>
      <c r="F227" s="99"/>
      <c r="G227" s="118" t="s">
        <v>734</v>
      </c>
      <c r="H227" s="99" t="s">
        <v>208</v>
      </c>
      <c r="I227" s="99" t="s">
        <v>209</v>
      </c>
      <c r="J227" s="99">
        <v>12</v>
      </c>
      <c r="K227" s="103" t="s">
        <v>210</v>
      </c>
      <c r="L227" s="102">
        <v>41411</v>
      </c>
      <c r="M227" s="101"/>
      <c r="N227" s="100">
        <f>L227+(J227*7*4.345)</f>
        <v>41775.98</v>
      </c>
      <c r="O227" s="102"/>
    </row>
    <row r="228" spans="1:15">
      <c r="A228" s="98" t="s">
        <v>735</v>
      </c>
      <c r="B228" s="98" t="s">
        <v>736</v>
      </c>
      <c r="C228" s="98" t="s">
        <v>27</v>
      </c>
      <c r="D228" s="98" t="s">
        <v>733</v>
      </c>
      <c r="E228" s="115" t="s">
        <v>475</v>
      </c>
      <c r="F228" s="99"/>
      <c r="G228" s="118" t="s">
        <v>734</v>
      </c>
      <c r="H228" s="99" t="s">
        <v>208</v>
      </c>
      <c r="I228" s="99" t="s">
        <v>209</v>
      </c>
      <c r="J228" s="99">
        <v>12</v>
      </c>
      <c r="K228" s="103" t="s">
        <v>210</v>
      </c>
      <c r="L228" s="102"/>
      <c r="M228" s="101"/>
      <c r="N228" s="100"/>
      <c r="O228" s="117"/>
    </row>
    <row r="229" spans="1:15">
      <c r="A229" s="98" t="s">
        <v>737</v>
      </c>
      <c r="B229" s="98" t="s">
        <v>738</v>
      </c>
      <c r="C229" s="98" t="s">
        <v>27</v>
      </c>
      <c r="D229" s="98" t="s">
        <v>739</v>
      </c>
      <c r="E229" s="115" t="s">
        <v>475</v>
      </c>
      <c r="F229" s="99"/>
      <c r="G229" s="118"/>
      <c r="H229" s="99" t="s">
        <v>208</v>
      </c>
      <c r="I229" s="99" t="s">
        <v>209</v>
      </c>
      <c r="J229" s="99">
        <v>12</v>
      </c>
      <c r="K229" s="103" t="s">
        <v>210</v>
      </c>
      <c r="L229" s="102"/>
      <c r="M229" s="101"/>
      <c r="N229" s="100"/>
      <c r="O229" s="117"/>
    </row>
    <row r="230" spans="1:15">
      <c r="A230" s="98" t="s">
        <v>740</v>
      </c>
      <c r="B230" s="98" t="s">
        <v>741</v>
      </c>
      <c r="C230" s="98" t="s">
        <v>27</v>
      </c>
      <c r="D230" s="98" t="s">
        <v>742</v>
      </c>
      <c r="E230" s="115" t="s">
        <v>475</v>
      </c>
      <c r="F230" s="99"/>
      <c r="G230" s="118" t="s">
        <v>743</v>
      </c>
      <c r="H230" s="99" t="s">
        <v>208</v>
      </c>
      <c r="I230" s="99" t="s">
        <v>209</v>
      </c>
      <c r="J230" s="99">
        <v>12</v>
      </c>
      <c r="K230" s="103" t="s">
        <v>335</v>
      </c>
      <c r="L230" s="102"/>
      <c r="M230" s="101"/>
      <c r="N230" s="100"/>
      <c r="O230" s="117"/>
    </row>
    <row r="231" spans="1:15">
      <c r="A231" s="98" t="s">
        <v>744</v>
      </c>
      <c r="B231" s="98" t="s">
        <v>745</v>
      </c>
      <c r="C231" s="98" t="s">
        <v>27</v>
      </c>
      <c r="D231" s="98" t="s">
        <v>746</v>
      </c>
      <c r="E231" s="115" t="s">
        <v>475</v>
      </c>
      <c r="F231" s="99"/>
      <c r="G231" s="118"/>
      <c r="H231" s="99" t="s">
        <v>333</v>
      </c>
      <c r="I231" s="99" t="s">
        <v>209</v>
      </c>
      <c r="J231" s="99">
        <v>24</v>
      </c>
      <c r="K231" s="103" t="s">
        <v>335</v>
      </c>
      <c r="L231" s="102"/>
      <c r="M231" s="101"/>
      <c r="N231" s="100"/>
      <c r="O231" s="117"/>
    </row>
    <row r="232" spans="1:15">
      <c r="A232" s="98" t="s">
        <v>747</v>
      </c>
      <c r="B232" s="98" t="s">
        <v>748</v>
      </c>
      <c r="C232" s="98" t="s">
        <v>27</v>
      </c>
      <c r="D232" s="98" t="s">
        <v>746</v>
      </c>
      <c r="E232" s="115" t="s">
        <v>475</v>
      </c>
      <c r="F232" s="99"/>
      <c r="G232" s="118"/>
      <c r="H232" s="99" t="s">
        <v>333</v>
      </c>
      <c r="I232" s="99" t="s">
        <v>209</v>
      </c>
      <c r="J232" s="99">
        <v>24</v>
      </c>
      <c r="K232" s="103" t="s">
        <v>335</v>
      </c>
      <c r="L232" s="102"/>
      <c r="M232" s="115"/>
      <c r="N232" s="138"/>
      <c r="O232" s="102"/>
    </row>
    <row r="233" spans="1:15">
      <c r="A233" s="98" t="s">
        <v>749</v>
      </c>
      <c r="B233" s="98" t="s">
        <v>750</v>
      </c>
      <c r="C233" s="98" t="s">
        <v>27</v>
      </c>
      <c r="D233" s="98" t="s">
        <v>746</v>
      </c>
      <c r="E233" s="115" t="s">
        <v>475</v>
      </c>
      <c r="F233" s="99"/>
      <c r="G233" s="118"/>
      <c r="H233" s="99" t="s">
        <v>333</v>
      </c>
      <c r="I233" s="99" t="s">
        <v>209</v>
      </c>
      <c r="J233" s="99">
        <v>24</v>
      </c>
      <c r="K233" s="103" t="s">
        <v>335</v>
      </c>
      <c r="L233" s="102"/>
      <c r="M233" s="115"/>
      <c r="N233" s="100"/>
      <c r="O233" s="102"/>
    </row>
    <row r="234" spans="1:15">
      <c r="A234" s="98" t="s">
        <v>751</v>
      </c>
      <c r="B234" s="98" t="s">
        <v>752</v>
      </c>
      <c r="C234" s="98" t="s">
        <v>27</v>
      </c>
      <c r="D234" s="98" t="s">
        <v>746</v>
      </c>
      <c r="E234" s="115" t="s">
        <v>475</v>
      </c>
      <c r="F234" s="99"/>
      <c r="G234" s="118"/>
      <c r="H234" s="99" t="s">
        <v>333</v>
      </c>
      <c r="I234" s="99" t="s">
        <v>209</v>
      </c>
      <c r="J234" s="99">
        <v>24</v>
      </c>
      <c r="K234" s="103" t="s">
        <v>335</v>
      </c>
      <c r="L234" s="102"/>
      <c r="M234" s="115"/>
      <c r="N234" s="100"/>
      <c r="O234" s="102"/>
    </row>
    <row r="235" spans="1:15">
      <c r="A235" s="98" t="s">
        <v>753</v>
      </c>
      <c r="B235" s="98" t="s">
        <v>754</v>
      </c>
      <c r="C235" s="98" t="s">
        <v>27</v>
      </c>
      <c r="D235" s="98" t="s">
        <v>746</v>
      </c>
      <c r="E235" s="115" t="s">
        <v>475</v>
      </c>
      <c r="F235" s="99"/>
      <c r="G235" s="118"/>
      <c r="H235" s="99" t="s">
        <v>333</v>
      </c>
      <c r="I235" s="99" t="s">
        <v>209</v>
      </c>
      <c r="J235" s="99">
        <v>24</v>
      </c>
      <c r="K235" s="103" t="s">
        <v>335</v>
      </c>
      <c r="L235" s="102"/>
      <c r="M235" s="115"/>
      <c r="N235" s="100"/>
      <c r="O235" s="102"/>
    </row>
    <row r="236" spans="1:15">
      <c r="A236" s="98" t="s">
        <v>755</v>
      </c>
      <c r="B236" s="98" t="s">
        <v>756</v>
      </c>
      <c r="C236" s="98" t="s">
        <v>27</v>
      </c>
      <c r="D236" s="98" t="s">
        <v>746</v>
      </c>
      <c r="E236" s="115" t="s">
        <v>475</v>
      </c>
      <c r="F236" s="99"/>
      <c r="G236" s="118"/>
      <c r="H236" s="99" t="s">
        <v>333</v>
      </c>
      <c r="I236" s="99" t="s">
        <v>209</v>
      </c>
      <c r="J236" s="99">
        <v>24</v>
      </c>
      <c r="K236" s="103" t="s">
        <v>335</v>
      </c>
      <c r="L236" s="102"/>
      <c r="M236" s="115"/>
      <c r="N236" s="100"/>
      <c r="O236" s="102"/>
    </row>
    <row r="237" spans="1:15">
      <c r="A237" s="98" t="s">
        <v>757</v>
      </c>
      <c r="B237" s="98" t="s">
        <v>758</v>
      </c>
      <c r="C237" s="98" t="s">
        <v>27</v>
      </c>
      <c r="D237" s="98" t="s">
        <v>759</v>
      </c>
      <c r="E237" s="115" t="s">
        <v>475</v>
      </c>
      <c r="F237" s="99"/>
      <c r="G237" s="118"/>
      <c r="H237" s="99" t="s">
        <v>333</v>
      </c>
      <c r="I237" s="99" t="s">
        <v>209</v>
      </c>
      <c r="J237" s="99">
        <v>24</v>
      </c>
      <c r="K237" s="103" t="s">
        <v>335</v>
      </c>
      <c r="L237" s="102"/>
      <c r="M237" s="115"/>
      <c r="N237" s="100"/>
      <c r="O237" s="102"/>
    </row>
    <row r="238" spans="1:15">
      <c r="A238" s="98" t="s">
        <v>760</v>
      </c>
      <c r="B238" s="98" t="s">
        <v>761</v>
      </c>
      <c r="C238" s="98" t="s">
        <v>27</v>
      </c>
      <c r="D238" s="98" t="s">
        <v>759</v>
      </c>
      <c r="E238" s="115" t="s">
        <v>475</v>
      </c>
      <c r="F238" s="99"/>
      <c r="G238" s="118"/>
      <c r="H238" s="99" t="s">
        <v>333</v>
      </c>
      <c r="I238" s="99" t="s">
        <v>209</v>
      </c>
      <c r="J238" s="99">
        <v>24</v>
      </c>
      <c r="K238" s="103" t="s">
        <v>335</v>
      </c>
      <c r="L238" s="102"/>
      <c r="M238" s="115"/>
      <c r="N238" s="100"/>
      <c r="O238" s="102"/>
    </row>
    <row r="239" spans="1:15">
      <c r="A239" s="98" t="s">
        <v>762</v>
      </c>
      <c r="B239" s="98" t="s">
        <v>763</v>
      </c>
      <c r="C239" s="98" t="s">
        <v>27</v>
      </c>
      <c r="D239" s="98" t="s">
        <v>759</v>
      </c>
      <c r="E239" s="115" t="s">
        <v>475</v>
      </c>
      <c r="F239" s="99"/>
      <c r="G239" s="118"/>
      <c r="H239" s="99" t="s">
        <v>333</v>
      </c>
      <c r="I239" s="99" t="s">
        <v>209</v>
      </c>
      <c r="J239" s="99">
        <v>24</v>
      </c>
      <c r="K239" s="103" t="s">
        <v>335</v>
      </c>
      <c r="L239" s="102"/>
      <c r="M239" s="115"/>
      <c r="N239" s="100"/>
      <c r="O239" s="102"/>
    </row>
    <row r="240" spans="1:15">
      <c r="A240" s="98" t="s">
        <v>764</v>
      </c>
      <c r="B240" s="98" t="s">
        <v>765</v>
      </c>
      <c r="C240" s="98" t="s">
        <v>27</v>
      </c>
      <c r="D240" s="98" t="s">
        <v>759</v>
      </c>
      <c r="E240" s="115" t="s">
        <v>475</v>
      </c>
      <c r="F240" s="99"/>
      <c r="G240" s="118"/>
      <c r="H240" s="99" t="s">
        <v>333</v>
      </c>
      <c r="I240" s="99" t="s">
        <v>209</v>
      </c>
      <c r="J240" s="99">
        <v>24</v>
      </c>
      <c r="K240" s="103" t="s">
        <v>335</v>
      </c>
      <c r="L240" s="102"/>
      <c r="M240" s="115"/>
      <c r="N240" s="100"/>
      <c r="O240" s="102"/>
    </row>
    <row r="241" spans="1:15">
      <c r="A241" s="98" t="s">
        <v>766</v>
      </c>
      <c r="B241" s="98" t="s">
        <v>767</v>
      </c>
      <c r="C241" s="98" t="s">
        <v>27</v>
      </c>
      <c r="D241" s="98" t="s">
        <v>759</v>
      </c>
      <c r="E241" s="115" t="s">
        <v>475</v>
      </c>
      <c r="F241" s="99"/>
      <c r="G241" s="118"/>
      <c r="H241" s="99" t="s">
        <v>333</v>
      </c>
      <c r="I241" s="99" t="s">
        <v>209</v>
      </c>
      <c r="J241" s="99">
        <v>24</v>
      </c>
      <c r="K241" s="103" t="s">
        <v>335</v>
      </c>
      <c r="L241" s="102"/>
      <c r="M241" s="115"/>
      <c r="N241" s="100"/>
      <c r="O241" s="102"/>
    </row>
    <row r="242" spans="1:15">
      <c r="A242" s="98" t="s">
        <v>768</v>
      </c>
      <c r="B242" s="98" t="s">
        <v>769</v>
      </c>
      <c r="C242" s="98" t="s">
        <v>27</v>
      </c>
      <c r="D242" s="98" t="s">
        <v>759</v>
      </c>
      <c r="E242" s="115" t="s">
        <v>475</v>
      </c>
      <c r="F242" s="99"/>
      <c r="G242" s="118"/>
      <c r="H242" s="99" t="s">
        <v>333</v>
      </c>
      <c r="I242" s="99" t="s">
        <v>209</v>
      </c>
      <c r="J242" s="99">
        <v>24</v>
      </c>
      <c r="K242" s="103" t="s">
        <v>335</v>
      </c>
      <c r="L242" s="102"/>
      <c r="M242" s="115"/>
      <c r="N242" s="100"/>
      <c r="O242" s="102"/>
    </row>
    <row r="243" spans="1:15">
      <c r="A243" s="98" t="s">
        <v>770</v>
      </c>
      <c r="B243" s="98" t="s">
        <v>771</v>
      </c>
      <c r="C243" s="98" t="s">
        <v>27</v>
      </c>
      <c r="D243" s="98" t="s">
        <v>759</v>
      </c>
      <c r="E243" s="115" t="s">
        <v>475</v>
      </c>
      <c r="F243" s="99"/>
      <c r="G243" s="118"/>
      <c r="H243" s="99" t="s">
        <v>333</v>
      </c>
      <c r="I243" s="99" t="s">
        <v>209</v>
      </c>
      <c r="J243" s="99">
        <v>24</v>
      </c>
      <c r="K243" s="103" t="s">
        <v>335</v>
      </c>
      <c r="L243" s="102"/>
      <c r="M243" s="115"/>
      <c r="N243" s="138"/>
      <c r="O243" s="102"/>
    </row>
    <row r="244" spans="1:15">
      <c r="A244" s="98" t="s">
        <v>772</v>
      </c>
      <c r="B244" s="98" t="s">
        <v>773</v>
      </c>
      <c r="C244" s="98" t="s">
        <v>27</v>
      </c>
      <c r="D244" s="98" t="s">
        <v>759</v>
      </c>
      <c r="E244" s="115" t="s">
        <v>475</v>
      </c>
      <c r="F244" s="99"/>
      <c r="G244" s="118"/>
      <c r="H244" s="99" t="s">
        <v>333</v>
      </c>
      <c r="I244" s="99" t="s">
        <v>209</v>
      </c>
      <c r="J244" s="99">
        <v>24</v>
      </c>
      <c r="K244" s="103" t="s">
        <v>335</v>
      </c>
      <c r="L244" s="102"/>
      <c r="M244" s="115"/>
      <c r="N244" s="138"/>
      <c r="O244" s="102"/>
    </row>
    <row r="245" spans="1:15">
      <c r="A245" s="98" t="s">
        <v>774</v>
      </c>
      <c r="B245" s="98" t="s">
        <v>775</v>
      </c>
      <c r="C245" s="98" t="s">
        <v>27</v>
      </c>
      <c r="D245" s="98" t="s">
        <v>759</v>
      </c>
      <c r="E245" s="115" t="s">
        <v>475</v>
      </c>
      <c r="F245" s="99"/>
      <c r="G245" s="118"/>
      <c r="H245" s="99" t="s">
        <v>333</v>
      </c>
      <c r="I245" s="99" t="s">
        <v>209</v>
      </c>
      <c r="J245" s="99">
        <v>24</v>
      </c>
      <c r="K245" s="103" t="s">
        <v>335</v>
      </c>
      <c r="L245" s="102"/>
      <c r="M245" s="115"/>
      <c r="N245" s="138"/>
      <c r="O245" s="102"/>
    </row>
    <row r="246" spans="1:15">
      <c r="A246" s="98" t="s">
        <v>776</v>
      </c>
      <c r="B246" s="98" t="s">
        <v>777</v>
      </c>
      <c r="C246" s="98" t="s">
        <v>27</v>
      </c>
      <c r="D246" s="98" t="s">
        <v>759</v>
      </c>
      <c r="E246" s="115" t="s">
        <v>475</v>
      </c>
      <c r="F246" s="99"/>
      <c r="G246" s="118"/>
      <c r="H246" s="99" t="s">
        <v>333</v>
      </c>
      <c r="I246" s="99" t="s">
        <v>209</v>
      </c>
      <c r="J246" s="99">
        <v>24</v>
      </c>
      <c r="K246" s="103" t="s">
        <v>335</v>
      </c>
      <c r="L246" s="102"/>
      <c r="M246" s="115"/>
      <c r="N246" s="138"/>
      <c r="O246" s="102"/>
    </row>
    <row r="247" spans="1:15">
      <c r="A247" s="98" t="s">
        <v>778</v>
      </c>
      <c r="B247" s="98" t="s">
        <v>779</v>
      </c>
      <c r="C247" s="98" t="s">
        <v>27</v>
      </c>
      <c r="D247" s="98" t="s">
        <v>780</v>
      </c>
      <c r="E247" s="115" t="s">
        <v>475</v>
      </c>
      <c r="F247" s="99"/>
      <c r="G247" s="118"/>
      <c r="H247" s="99" t="s">
        <v>333</v>
      </c>
      <c r="I247" s="99" t="s">
        <v>209</v>
      </c>
      <c r="J247" s="99">
        <v>24</v>
      </c>
      <c r="K247" s="103" t="s">
        <v>335</v>
      </c>
      <c r="L247" s="102"/>
      <c r="M247" s="115"/>
      <c r="N247" s="138"/>
      <c r="O247" s="102"/>
    </row>
    <row r="248" spans="1:15">
      <c r="A248" s="98" t="s">
        <v>781</v>
      </c>
      <c r="B248" s="98"/>
      <c r="C248" s="98"/>
      <c r="D248" s="98" t="s">
        <v>782</v>
      </c>
      <c r="E248" s="115"/>
      <c r="F248" s="99"/>
      <c r="G248" s="118"/>
      <c r="H248" s="99" t="s">
        <v>333</v>
      </c>
      <c r="I248" s="99"/>
      <c r="J248" s="99">
        <v>24</v>
      </c>
      <c r="K248" s="103" t="s">
        <v>335</v>
      </c>
      <c r="L248" s="102"/>
      <c r="M248" s="115"/>
      <c r="N248" s="138"/>
      <c r="O248" s="102"/>
    </row>
    <row r="249" spans="1:15">
      <c r="A249" s="98" t="s">
        <v>783</v>
      </c>
      <c r="B249" s="98"/>
      <c r="C249" s="98"/>
      <c r="D249" s="98" t="s">
        <v>784</v>
      </c>
      <c r="E249" s="115"/>
      <c r="F249" s="99"/>
      <c r="G249" s="118"/>
      <c r="H249" s="99" t="s">
        <v>215</v>
      </c>
      <c r="I249" s="99"/>
      <c r="J249" s="103"/>
      <c r="K249" s="99" t="s">
        <v>335</v>
      </c>
      <c r="L249" s="102"/>
      <c r="M249" s="115"/>
      <c r="N249" s="138"/>
      <c r="O249" s="102" t="s">
        <v>321</v>
      </c>
    </row>
    <row r="250" spans="1:15">
      <c r="A250" s="98" t="s">
        <v>785</v>
      </c>
      <c r="B250" s="98"/>
      <c r="C250" s="98"/>
      <c r="D250" s="98" t="s">
        <v>784</v>
      </c>
      <c r="E250" s="115"/>
      <c r="F250" s="99"/>
      <c r="G250" s="118"/>
      <c r="H250" s="99" t="s">
        <v>215</v>
      </c>
      <c r="I250" s="99"/>
      <c r="J250" s="99"/>
      <c r="K250" s="99" t="s">
        <v>335</v>
      </c>
      <c r="L250" s="102"/>
      <c r="M250" s="115"/>
      <c r="N250" s="100"/>
      <c r="O250" s="102" t="s">
        <v>321</v>
      </c>
    </row>
    <row r="251" spans="1:15">
      <c r="A251" s="98" t="s">
        <v>786</v>
      </c>
      <c r="B251" s="98"/>
      <c r="C251" s="98"/>
      <c r="D251" s="98" t="s">
        <v>784</v>
      </c>
      <c r="E251" s="115"/>
      <c r="F251" s="99"/>
      <c r="G251" s="118"/>
      <c r="H251" s="99" t="s">
        <v>215</v>
      </c>
      <c r="I251" s="99"/>
      <c r="J251" s="99"/>
      <c r="K251" s="99" t="s">
        <v>335</v>
      </c>
      <c r="L251" s="102"/>
      <c r="M251" s="115"/>
      <c r="N251" s="100"/>
      <c r="O251" s="102" t="s">
        <v>321</v>
      </c>
    </row>
    <row r="252" spans="1:15">
      <c r="A252" s="98" t="s">
        <v>787</v>
      </c>
      <c r="B252" s="98"/>
      <c r="C252" s="98"/>
      <c r="D252" s="98" t="s">
        <v>784</v>
      </c>
      <c r="E252" s="115"/>
      <c r="F252" s="99"/>
      <c r="G252" s="118"/>
      <c r="H252" s="99" t="s">
        <v>215</v>
      </c>
      <c r="I252" s="99"/>
      <c r="J252" s="99"/>
      <c r="K252" s="99" t="s">
        <v>335</v>
      </c>
      <c r="L252" s="102"/>
      <c r="M252" s="115"/>
      <c r="N252" s="100"/>
      <c r="O252" s="102" t="s">
        <v>321</v>
      </c>
    </row>
    <row r="253" spans="1:15">
      <c r="A253" s="98" t="s">
        <v>788</v>
      </c>
      <c r="B253" s="98"/>
      <c r="C253" s="98"/>
      <c r="D253" s="98" t="s">
        <v>784</v>
      </c>
      <c r="E253" s="115"/>
      <c r="F253" s="99"/>
      <c r="G253" s="118"/>
      <c r="H253" s="99" t="s">
        <v>215</v>
      </c>
      <c r="I253" s="99"/>
      <c r="J253" s="99"/>
      <c r="K253" s="99" t="s">
        <v>335</v>
      </c>
      <c r="L253" s="102"/>
      <c r="M253" s="115"/>
      <c r="N253" s="100"/>
      <c r="O253" s="102" t="s">
        <v>321</v>
      </c>
    </row>
    <row r="254" spans="1:15">
      <c r="A254" s="98" t="s">
        <v>789</v>
      </c>
      <c r="B254" s="98"/>
      <c r="C254" s="98"/>
      <c r="D254" s="98" t="s">
        <v>784</v>
      </c>
      <c r="E254" s="115"/>
      <c r="F254" s="99"/>
      <c r="G254" s="99"/>
      <c r="H254" s="99" t="s">
        <v>215</v>
      </c>
      <c r="I254" s="99"/>
      <c r="J254" s="99"/>
      <c r="K254" s="99" t="s">
        <v>335</v>
      </c>
      <c r="L254" s="102"/>
      <c r="M254" s="115"/>
      <c r="N254" s="100"/>
      <c r="O254" s="102" t="s">
        <v>321</v>
      </c>
    </row>
    <row r="255" spans="1:15">
      <c r="A255" s="98" t="s">
        <v>790</v>
      </c>
      <c r="B255" s="98"/>
      <c r="C255" s="98"/>
      <c r="D255" s="98" t="s">
        <v>784</v>
      </c>
      <c r="E255" s="115"/>
      <c r="F255" s="99"/>
      <c r="G255" s="99"/>
      <c r="H255" s="99" t="s">
        <v>215</v>
      </c>
      <c r="I255" s="99"/>
      <c r="J255" s="99"/>
      <c r="K255" s="99" t="s">
        <v>335</v>
      </c>
      <c r="L255" s="102"/>
      <c r="M255" s="115"/>
      <c r="N255" s="100"/>
      <c r="O255" s="102" t="s">
        <v>321</v>
      </c>
    </row>
    <row r="256" spans="1:15">
      <c r="A256" s="98" t="s">
        <v>791</v>
      </c>
      <c r="B256" s="98"/>
      <c r="C256" s="98"/>
      <c r="D256" s="98" t="s">
        <v>784</v>
      </c>
      <c r="E256" s="115"/>
      <c r="F256" s="99"/>
      <c r="G256" s="99"/>
      <c r="H256" s="99" t="s">
        <v>215</v>
      </c>
      <c r="I256" s="99"/>
      <c r="J256" s="99"/>
      <c r="K256" s="99" t="s">
        <v>335</v>
      </c>
      <c r="L256" s="102"/>
      <c r="M256" s="115"/>
      <c r="N256" s="100"/>
      <c r="O256" s="102" t="s">
        <v>321</v>
      </c>
    </row>
    <row r="257" spans="1:15">
      <c r="A257" s="98" t="s">
        <v>792</v>
      </c>
      <c r="B257" s="98"/>
      <c r="C257" s="98"/>
      <c r="D257" s="98" t="s">
        <v>784</v>
      </c>
      <c r="E257" s="115"/>
      <c r="F257" s="99"/>
      <c r="G257" s="99"/>
      <c r="H257" s="99" t="s">
        <v>215</v>
      </c>
      <c r="I257" s="99"/>
      <c r="J257" s="99"/>
      <c r="K257" s="99" t="s">
        <v>335</v>
      </c>
      <c r="L257" s="102"/>
      <c r="M257" s="115"/>
      <c r="N257" s="100"/>
      <c r="O257" s="102" t="s">
        <v>321</v>
      </c>
    </row>
    <row r="258" spans="1:15">
      <c r="A258" s="98" t="s">
        <v>793</v>
      </c>
      <c r="B258" s="98"/>
      <c r="C258" s="98"/>
      <c r="D258" s="98" t="s">
        <v>784</v>
      </c>
      <c r="E258" s="115"/>
      <c r="F258" s="99"/>
      <c r="G258" s="99"/>
      <c r="H258" s="99" t="s">
        <v>215</v>
      </c>
      <c r="I258" s="99"/>
      <c r="J258" s="99"/>
      <c r="K258" s="99" t="s">
        <v>335</v>
      </c>
      <c r="L258" s="102"/>
      <c r="M258" s="115"/>
      <c r="N258" s="100"/>
      <c r="O258" s="102" t="s">
        <v>321</v>
      </c>
    </row>
    <row r="259" spans="1:15">
      <c r="A259" s="98" t="s">
        <v>794</v>
      </c>
      <c r="B259" s="98"/>
      <c r="C259" s="98"/>
      <c r="D259" s="98" t="s">
        <v>784</v>
      </c>
      <c r="E259" s="115"/>
      <c r="F259" s="99"/>
      <c r="G259" s="99"/>
      <c r="H259" s="99" t="s">
        <v>215</v>
      </c>
      <c r="I259" s="99"/>
      <c r="J259" s="99"/>
      <c r="K259" s="99" t="s">
        <v>335</v>
      </c>
      <c r="L259" s="102"/>
      <c r="M259" s="115"/>
      <c r="N259" s="100"/>
      <c r="O259" s="102" t="s">
        <v>321</v>
      </c>
    </row>
    <row r="260" spans="1:15">
      <c r="A260" s="98" t="s">
        <v>795</v>
      </c>
      <c r="B260" s="98"/>
      <c r="C260" s="98"/>
      <c r="D260" s="98" t="s">
        <v>784</v>
      </c>
      <c r="E260" s="115"/>
      <c r="F260" s="99"/>
      <c r="G260" s="99"/>
      <c r="H260" s="99" t="s">
        <v>215</v>
      </c>
      <c r="I260" s="99"/>
      <c r="J260" s="99"/>
      <c r="K260" s="99" t="s">
        <v>335</v>
      </c>
      <c r="L260" s="102"/>
      <c r="M260" s="115"/>
      <c r="N260" s="100"/>
      <c r="O260" s="102" t="s">
        <v>321</v>
      </c>
    </row>
    <row r="261" spans="1:15">
      <c r="A261" s="98" t="s">
        <v>796</v>
      </c>
      <c r="B261" s="98"/>
      <c r="C261" s="98"/>
      <c r="D261" s="98" t="s">
        <v>733</v>
      </c>
      <c r="E261" s="115"/>
      <c r="F261" s="99"/>
      <c r="G261" s="118" t="s">
        <v>734</v>
      </c>
      <c r="H261" s="99" t="s">
        <v>208</v>
      </c>
      <c r="I261" s="99"/>
      <c r="J261" s="99">
        <v>12</v>
      </c>
      <c r="K261" s="99" t="s">
        <v>210</v>
      </c>
      <c r="L261" s="102">
        <v>41411</v>
      </c>
      <c r="M261" s="115"/>
      <c r="N261" s="100">
        <f>L261+(J261*7*4.345)</f>
        <v>41775.98</v>
      </c>
      <c r="O261" s="102"/>
    </row>
    <row r="262" spans="1:15">
      <c r="A262" s="98" t="s">
        <v>797</v>
      </c>
      <c r="B262" s="98"/>
      <c r="C262" s="98"/>
      <c r="D262" s="98" t="s">
        <v>733</v>
      </c>
      <c r="E262" s="115"/>
      <c r="F262" s="99"/>
      <c r="G262" s="118" t="s">
        <v>734</v>
      </c>
      <c r="H262" s="99" t="s">
        <v>208</v>
      </c>
      <c r="I262" s="99"/>
      <c r="J262" s="99">
        <v>12</v>
      </c>
      <c r="K262" s="99" t="s">
        <v>210</v>
      </c>
      <c r="L262" s="102">
        <v>41411</v>
      </c>
      <c r="M262" s="115"/>
      <c r="N262" s="100">
        <f>L262+(J262*7*4.345)</f>
        <v>41775.98</v>
      </c>
      <c r="O262" s="102" t="s">
        <v>321</v>
      </c>
    </row>
    <row r="263" spans="1:15">
      <c r="A263" s="98" t="s">
        <v>798</v>
      </c>
      <c r="B263" s="98"/>
      <c r="C263" s="98"/>
      <c r="D263" s="98" t="s">
        <v>679</v>
      </c>
      <c r="E263" s="115" t="s">
        <v>274</v>
      </c>
      <c r="F263" s="99"/>
      <c r="G263" s="103"/>
      <c r="H263" s="99" t="s">
        <v>333</v>
      </c>
      <c r="I263" s="99"/>
      <c r="J263" s="99"/>
      <c r="K263" s="99"/>
      <c r="L263" s="102"/>
      <c r="M263" s="115"/>
      <c r="N263" s="100"/>
      <c r="O263" s="102" t="s">
        <v>799</v>
      </c>
    </row>
    <row r="264" spans="1:15">
      <c r="A264" s="98" t="s">
        <v>800</v>
      </c>
      <c r="B264" s="98"/>
      <c r="C264" s="98"/>
      <c r="D264" s="98" t="s">
        <v>689</v>
      </c>
      <c r="E264" s="115" t="s">
        <v>274</v>
      </c>
      <c r="F264" s="99"/>
      <c r="G264" s="99"/>
      <c r="H264" s="99" t="s">
        <v>333</v>
      </c>
      <c r="I264" s="99"/>
      <c r="J264" s="99"/>
      <c r="K264" s="99"/>
      <c r="L264" s="102"/>
      <c r="M264" s="115"/>
      <c r="N264" s="100"/>
      <c r="O264" s="102" t="s">
        <v>799</v>
      </c>
    </row>
    <row r="265" spans="1:15">
      <c r="A265" s="98" t="s">
        <v>801</v>
      </c>
      <c r="B265" s="98"/>
      <c r="C265" s="98"/>
      <c r="D265" s="98" t="s">
        <v>692</v>
      </c>
      <c r="E265" s="115" t="s">
        <v>274</v>
      </c>
      <c r="F265" s="99"/>
      <c r="G265" s="99"/>
      <c r="H265" s="99" t="s">
        <v>333</v>
      </c>
      <c r="I265" s="99"/>
      <c r="J265" s="99"/>
      <c r="K265" s="99"/>
      <c r="L265" s="102"/>
      <c r="M265" s="115"/>
      <c r="N265" s="100"/>
      <c r="O265" s="102" t="s">
        <v>799</v>
      </c>
    </row>
    <row r="266" spans="1:15">
      <c r="A266" s="98" t="s">
        <v>802</v>
      </c>
      <c r="B266" s="98"/>
      <c r="C266" s="98"/>
      <c r="D266" s="98" t="s">
        <v>695</v>
      </c>
      <c r="E266" s="115" t="s">
        <v>274</v>
      </c>
      <c r="F266" s="99"/>
      <c r="G266" s="99"/>
      <c r="H266" s="99" t="s">
        <v>333</v>
      </c>
      <c r="I266" s="99"/>
      <c r="J266" s="99"/>
      <c r="K266" s="99"/>
      <c r="L266" s="102"/>
      <c r="M266" s="115"/>
      <c r="N266" s="100"/>
      <c r="O266" s="102" t="s">
        <v>799</v>
      </c>
    </row>
    <row r="267" spans="1:15">
      <c r="A267" s="98" t="s">
        <v>803</v>
      </c>
      <c r="B267" s="98"/>
      <c r="C267" s="98"/>
      <c r="D267" s="98" t="s">
        <v>698</v>
      </c>
      <c r="E267" s="115" t="s">
        <v>274</v>
      </c>
      <c r="F267" s="99"/>
      <c r="G267" s="99"/>
      <c r="H267" s="99" t="s">
        <v>333</v>
      </c>
      <c r="I267" s="99"/>
      <c r="J267" s="99"/>
      <c r="K267" s="99"/>
      <c r="L267" s="102"/>
      <c r="M267" s="115"/>
      <c r="N267" s="100"/>
      <c r="O267" s="102" t="s">
        <v>799</v>
      </c>
    </row>
    <row r="268" spans="1:15">
      <c r="A268" s="98" t="s">
        <v>804</v>
      </c>
      <c r="B268" s="98"/>
      <c r="C268" s="98"/>
      <c r="D268" s="98" t="s">
        <v>701</v>
      </c>
      <c r="E268" s="115" t="s">
        <v>274</v>
      </c>
      <c r="F268" s="99"/>
      <c r="G268" s="99"/>
      <c r="H268" s="99" t="s">
        <v>333</v>
      </c>
      <c r="I268" s="99"/>
      <c r="J268" s="99"/>
      <c r="K268" s="99"/>
      <c r="L268" s="102"/>
      <c r="M268" s="115"/>
      <c r="N268" s="100"/>
      <c r="O268" s="102" t="s">
        <v>799</v>
      </c>
    </row>
    <row r="269" spans="1:15">
      <c r="A269" s="98" t="s">
        <v>805</v>
      </c>
      <c r="B269" s="98"/>
      <c r="C269" s="98"/>
      <c r="D269" s="98" t="s">
        <v>679</v>
      </c>
      <c r="E269" s="115" t="s">
        <v>274</v>
      </c>
      <c r="F269" s="99"/>
      <c r="G269" s="99"/>
      <c r="H269" s="99" t="s">
        <v>333</v>
      </c>
      <c r="I269" s="99"/>
      <c r="J269" s="99"/>
      <c r="K269" s="99"/>
      <c r="L269" s="102"/>
      <c r="M269" s="115"/>
      <c r="N269" s="100"/>
      <c r="O269" s="102" t="s">
        <v>799</v>
      </c>
    </row>
    <row r="270" spans="1:15">
      <c r="A270" s="98" t="s">
        <v>806</v>
      </c>
      <c r="B270" s="98"/>
      <c r="C270" s="98"/>
      <c r="D270" s="98" t="s">
        <v>683</v>
      </c>
      <c r="E270" s="115" t="s">
        <v>274</v>
      </c>
      <c r="F270" s="99"/>
      <c r="G270" s="99"/>
      <c r="H270" s="99" t="s">
        <v>333</v>
      </c>
      <c r="I270" s="99"/>
      <c r="J270" s="99"/>
      <c r="K270" s="99"/>
      <c r="L270" s="102"/>
      <c r="M270" s="115"/>
      <c r="N270" s="100"/>
      <c r="O270" s="102" t="s">
        <v>799</v>
      </c>
    </row>
    <row r="271" spans="1:15">
      <c r="A271" s="98" t="s">
        <v>807</v>
      </c>
      <c r="B271" s="98"/>
      <c r="C271" s="98"/>
      <c r="D271" s="98" t="s">
        <v>689</v>
      </c>
      <c r="E271" s="115" t="s">
        <v>274</v>
      </c>
      <c r="F271" s="99"/>
      <c r="G271" s="99"/>
      <c r="H271" s="99" t="s">
        <v>333</v>
      </c>
      <c r="I271" s="99"/>
      <c r="J271" s="99"/>
      <c r="K271" s="99"/>
      <c r="L271" s="102"/>
      <c r="M271" s="115"/>
      <c r="N271" s="100"/>
      <c r="O271" s="102" t="s">
        <v>799</v>
      </c>
    </row>
    <row r="272" spans="1:15">
      <c r="A272" s="98" t="s">
        <v>808</v>
      </c>
      <c r="B272" s="98"/>
      <c r="C272" s="98"/>
      <c r="D272" s="98" t="s">
        <v>692</v>
      </c>
      <c r="E272" s="115" t="s">
        <v>274</v>
      </c>
      <c r="F272" s="99"/>
      <c r="G272" s="99"/>
      <c r="H272" s="99" t="s">
        <v>333</v>
      </c>
      <c r="I272" s="99"/>
      <c r="J272" s="99"/>
      <c r="K272" s="99"/>
      <c r="L272" s="102"/>
      <c r="M272" s="115"/>
      <c r="N272" s="100"/>
      <c r="O272" s="102" t="s">
        <v>799</v>
      </c>
    </row>
    <row r="273" spans="1:15">
      <c r="A273" s="98" t="s">
        <v>809</v>
      </c>
      <c r="B273" s="98"/>
      <c r="C273" s="98"/>
      <c r="D273" s="98" t="s">
        <v>695</v>
      </c>
      <c r="E273" s="115" t="s">
        <v>274</v>
      </c>
      <c r="F273" s="99"/>
      <c r="G273" s="99"/>
      <c r="H273" s="99" t="s">
        <v>333</v>
      </c>
      <c r="I273" s="99"/>
      <c r="J273" s="99"/>
      <c r="K273" s="99"/>
      <c r="L273" s="102"/>
      <c r="M273" s="115"/>
      <c r="N273" s="100"/>
      <c r="O273" s="102" t="s">
        <v>799</v>
      </c>
    </row>
    <row r="274" spans="1:15">
      <c r="A274" s="98" t="s">
        <v>810</v>
      </c>
      <c r="B274" s="98"/>
      <c r="C274" s="98"/>
      <c r="D274" s="98" t="s">
        <v>698</v>
      </c>
      <c r="E274" s="115" t="s">
        <v>274</v>
      </c>
      <c r="F274" s="99"/>
      <c r="G274" s="99"/>
      <c r="H274" s="99" t="s">
        <v>333</v>
      </c>
      <c r="I274" s="99"/>
      <c r="J274" s="99"/>
      <c r="K274" s="99"/>
      <c r="L274" s="102"/>
      <c r="M274" s="115"/>
      <c r="N274" s="100"/>
      <c r="O274" s="102" t="s">
        <v>799</v>
      </c>
    </row>
    <row r="275" spans="1:15">
      <c r="A275" s="98" t="s">
        <v>811</v>
      </c>
      <c r="B275" s="98"/>
      <c r="C275" s="98"/>
      <c r="D275" s="98" t="s">
        <v>701</v>
      </c>
      <c r="E275" s="115" t="s">
        <v>274</v>
      </c>
      <c r="F275" s="99"/>
      <c r="G275" s="99"/>
      <c r="H275" s="99" t="s">
        <v>333</v>
      </c>
      <c r="I275" s="99"/>
      <c r="J275" s="99"/>
      <c r="K275" s="99"/>
      <c r="L275" s="102"/>
      <c r="M275" s="115"/>
      <c r="N275" s="100"/>
      <c r="O275" s="102" t="s">
        <v>799</v>
      </c>
    </row>
    <row r="276" spans="1:15">
      <c r="A276" s="98" t="s">
        <v>812</v>
      </c>
      <c r="B276" s="98"/>
      <c r="C276" s="72"/>
      <c r="D276" s="98" t="s">
        <v>739</v>
      </c>
      <c r="E276" s="115"/>
      <c r="F276" s="99"/>
      <c r="G276" s="99"/>
      <c r="H276" s="99" t="s">
        <v>208</v>
      </c>
      <c r="I276" s="99"/>
      <c r="J276" s="99"/>
      <c r="K276" s="99" t="s">
        <v>335</v>
      </c>
      <c r="L276" s="102"/>
      <c r="M276" s="115"/>
      <c r="N276" s="100"/>
      <c r="O276" s="102" t="s">
        <v>321</v>
      </c>
    </row>
    <row r="277" spans="1:15">
      <c r="A277" s="98" t="s">
        <v>813</v>
      </c>
      <c r="B277" s="98"/>
      <c r="C277" s="72"/>
      <c r="D277" s="98" t="s">
        <v>729</v>
      </c>
      <c r="E277" s="115"/>
      <c r="F277" s="99"/>
      <c r="G277" s="118" t="s">
        <v>730</v>
      </c>
      <c r="H277" s="99" t="s">
        <v>208</v>
      </c>
      <c r="I277" s="99" t="s">
        <v>209</v>
      </c>
      <c r="J277" s="99"/>
      <c r="K277" s="99" t="s">
        <v>335</v>
      </c>
      <c r="L277" s="102"/>
      <c r="M277" s="115"/>
      <c r="N277" s="100"/>
      <c r="O277" s="102" t="s">
        <v>321</v>
      </c>
    </row>
    <row r="278" spans="1:15">
      <c r="A278" s="98" t="s">
        <v>814</v>
      </c>
      <c r="B278" s="98"/>
      <c r="C278" s="98"/>
      <c r="D278" s="98" t="s">
        <v>815</v>
      </c>
      <c r="E278" s="115"/>
      <c r="F278" s="99"/>
      <c r="G278" s="118" t="s">
        <v>816</v>
      </c>
      <c r="H278" s="99" t="s">
        <v>208</v>
      </c>
      <c r="I278" s="99" t="s">
        <v>209</v>
      </c>
      <c r="J278" s="99"/>
      <c r="K278" s="99" t="s">
        <v>210</v>
      </c>
      <c r="L278" s="102"/>
      <c r="M278" s="115"/>
      <c r="N278" s="100"/>
      <c r="O278" s="102" t="s">
        <v>321</v>
      </c>
    </row>
    <row r="279" spans="1:15">
      <c r="A279" s="98" t="s">
        <v>817</v>
      </c>
      <c r="B279" s="98"/>
      <c r="C279" s="98"/>
      <c r="D279" s="98" t="s">
        <v>818</v>
      </c>
      <c r="E279" s="115"/>
      <c r="F279" s="99"/>
      <c r="G279" s="118" t="s">
        <v>819</v>
      </c>
      <c r="H279" s="99" t="s">
        <v>208</v>
      </c>
      <c r="I279" s="99" t="s">
        <v>209</v>
      </c>
      <c r="J279" s="99"/>
      <c r="K279" s="99" t="s">
        <v>210</v>
      </c>
      <c r="L279" s="102"/>
      <c r="M279" s="115"/>
      <c r="N279" s="100"/>
      <c r="O279" s="102" t="s">
        <v>235</v>
      </c>
    </row>
    <row r="280" spans="1:15">
      <c r="A280" s="98" t="s">
        <v>820</v>
      </c>
      <c r="B280" s="98"/>
      <c r="C280" s="98"/>
      <c r="D280" s="98" t="s">
        <v>818</v>
      </c>
      <c r="E280" s="115"/>
      <c r="F280" s="99"/>
      <c r="G280" s="118" t="s">
        <v>819</v>
      </c>
      <c r="H280" s="99" t="s">
        <v>208</v>
      </c>
      <c r="I280" s="99" t="s">
        <v>209</v>
      </c>
      <c r="J280" s="99"/>
      <c r="K280" s="99" t="s">
        <v>210</v>
      </c>
      <c r="L280" s="102"/>
      <c r="M280" s="115"/>
      <c r="N280" s="100"/>
      <c r="O280" s="102" t="s">
        <v>235</v>
      </c>
    </row>
    <row r="281" spans="1:15">
      <c r="A281" s="98" t="s">
        <v>821</v>
      </c>
      <c r="B281" s="98"/>
      <c r="C281" s="98"/>
      <c r="D281" s="98" t="s">
        <v>822</v>
      </c>
      <c r="E281" s="115"/>
      <c r="F281" s="99"/>
      <c r="G281" s="118" t="s">
        <v>819</v>
      </c>
      <c r="H281" s="99" t="s">
        <v>208</v>
      </c>
      <c r="I281" s="99" t="s">
        <v>209</v>
      </c>
      <c r="J281" s="99"/>
      <c r="K281" s="99" t="s">
        <v>210</v>
      </c>
      <c r="L281" s="102"/>
      <c r="M281" s="115"/>
      <c r="N281" s="100"/>
      <c r="O281" s="102" t="s">
        <v>235</v>
      </c>
    </row>
    <row r="282" spans="1:15">
      <c r="A282" s="98" t="s">
        <v>823</v>
      </c>
      <c r="B282" s="98"/>
      <c r="C282" s="98"/>
      <c r="D282" s="98" t="s">
        <v>824</v>
      </c>
      <c r="E282" s="115"/>
      <c r="F282" s="99"/>
      <c r="G282" s="118"/>
      <c r="H282" s="99" t="s">
        <v>333</v>
      </c>
      <c r="I282" s="99"/>
      <c r="J282" s="99"/>
      <c r="K282" s="99" t="s">
        <v>335</v>
      </c>
      <c r="L282" s="102"/>
      <c r="M282" s="115"/>
      <c r="N282" s="100"/>
      <c r="O282" s="102" t="s">
        <v>321</v>
      </c>
    </row>
    <row r="283" spans="1:15">
      <c r="A283" s="98" t="s">
        <v>825</v>
      </c>
      <c r="B283" s="98"/>
      <c r="C283" s="98"/>
      <c r="D283" s="98" t="s">
        <v>826</v>
      </c>
      <c r="E283" s="115"/>
      <c r="F283" s="99"/>
      <c r="G283" s="118" t="s">
        <v>827</v>
      </c>
      <c r="H283" s="99" t="s">
        <v>208</v>
      </c>
      <c r="I283" s="99" t="s">
        <v>828</v>
      </c>
      <c r="J283" s="99">
        <v>12</v>
      </c>
      <c r="K283" s="99" t="s">
        <v>210</v>
      </c>
      <c r="L283" s="102"/>
      <c r="M283" s="115"/>
      <c r="N283" s="100"/>
      <c r="O283" s="102" t="s">
        <v>235</v>
      </c>
    </row>
    <row r="284" spans="1:15">
      <c r="A284" s="98" t="s">
        <v>829</v>
      </c>
      <c r="B284" s="98"/>
      <c r="C284" s="98"/>
      <c r="D284" s="98" t="s">
        <v>826</v>
      </c>
      <c r="E284" s="115"/>
      <c r="F284" s="99"/>
      <c r="G284" s="118" t="s">
        <v>827</v>
      </c>
      <c r="H284" s="99" t="s">
        <v>208</v>
      </c>
      <c r="I284" s="99" t="s">
        <v>828</v>
      </c>
      <c r="J284" s="99">
        <v>12</v>
      </c>
      <c r="K284" s="99" t="s">
        <v>210</v>
      </c>
      <c r="L284" s="102"/>
      <c r="M284" s="115"/>
      <c r="N284" s="100"/>
      <c r="O284" s="102" t="s">
        <v>235</v>
      </c>
    </row>
    <row r="285" spans="1:15">
      <c r="A285" s="98" t="s">
        <v>830</v>
      </c>
      <c r="B285" s="98"/>
      <c r="C285" s="98"/>
      <c r="D285" s="98" t="s">
        <v>826</v>
      </c>
      <c r="E285" s="115"/>
      <c r="F285" s="99"/>
      <c r="G285" s="118" t="s">
        <v>827</v>
      </c>
      <c r="H285" s="99" t="s">
        <v>208</v>
      </c>
      <c r="I285" s="99" t="s">
        <v>828</v>
      </c>
      <c r="J285" s="99">
        <v>12</v>
      </c>
      <c r="K285" s="99" t="s">
        <v>210</v>
      </c>
      <c r="L285" s="102">
        <v>41437</v>
      </c>
      <c r="M285" s="115"/>
      <c r="N285" s="100">
        <f t="shared" ref="N285:N292" si="11">L285+(J285*7*4.345)</f>
        <v>41801.98</v>
      </c>
      <c r="O285" s="102"/>
    </row>
    <row r="286" spans="1:15">
      <c r="A286" s="98" t="s">
        <v>831</v>
      </c>
      <c r="B286" s="98"/>
      <c r="C286" s="98"/>
      <c r="D286" s="98" t="s">
        <v>826</v>
      </c>
      <c r="E286" s="115"/>
      <c r="F286" s="99"/>
      <c r="G286" s="118" t="s">
        <v>827</v>
      </c>
      <c r="H286" s="99" t="s">
        <v>208</v>
      </c>
      <c r="I286" s="99" t="s">
        <v>828</v>
      </c>
      <c r="J286" s="99">
        <v>12</v>
      </c>
      <c r="K286" s="99" t="s">
        <v>210</v>
      </c>
      <c r="L286" s="102">
        <v>41437</v>
      </c>
      <c r="M286" s="115"/>
      <c r="N286" s="100">
        <f t="shared" si="11"/>
        <v>41801.98</v>
      </c>
      <c r="O286" s="102"/>
    </row>
    <row r="287" spans="1:15">
      <c r="A287" s="98" t="s">
        <v>832</v>
      </c>
      <c r="B287" s="98"/>
      <c r="C287" s="98"/>
      <c r="D287" s="98" t="s">
        <v>826</v>
      </c>
      <c r="E287" s="115"/>
      <c r="F287" s="99"/>
      <c r="G287" s="118" t="s">
        <v>827</v>
      </c>
      <c r="H287" s="99" t="s">
        <v>208</v>
      </c>
      <c r="I287" s="99" t="s">
        <v>828</v>
      </c>
      <c r="J287" s="99">
        <v>12</v>
      </c>
      <c r="K287" s="99" t="s">
        <v>210</v>
      </c>
      <c r="L287" s="102">
        <v>41437</v>
      </c>
      <c r="M287" s="115"/>
      <c r="N287" s="100">
        <f t="shared" si="11"/>
        <v>41801.98</v>
      </c>
      <c r="O287" s="102"/>
    </row>
    <row r="288" spans="1:15">
      <c r="A288" s="98" t="s">
        <v>833</v>
      </c>
      <c r="B288" s="98"/>
      <c r="C288" s="98"/>
      <c r="D288" s="98" t="s">
        <v>826</v>
      </c>
      <c r="E288" s="115"/>
      <c r="F288" s="99"/>
      <c r="G288" s="118" t="s">
        <v>827</v>
      </c>
      <c r="H288" s="99" t="s">
        <v>208</v>
      </c>
      <c r="I288" s="99" t="s">
        <v>828</v>
      </c>
      <c r="J288" s="99">
        <v>12</v>
      </c>
      <c r="K288" s="99" t="s">
        <v>210</v>
      </c>
      <c r="L288" s="102">
        <v>41437</v>
      </c>
      <c r="M288" s="115"/>
      <c r="N288" s="100">
        <f t="shared" si="11"/>
        <v>41801.98</v>
      </c>
      <c r="O288" s="102"/>
    </row>
    <row r="289" spans="1:15">
      <c r="A289" s="98" t="s">
        <v>834</v>
      </c>
      <c r="B289" s="98"/>
      <c r="C289" s="98"/>
      <c r="D289" s="98" t="s">
        <v>826</v>
      </c>
      <c r="E289" s="115"/>
      <c r="F289" s="99"/>
      <c r="G289" s="118" t="s">
        <v>827</v>
      </c>
      <c r="H289" s="99" t="s">
        <v>208</v>
      </c>
      <c r="I289" s="99" t="s">
        <v>828</v>
      </c>
      <c r="J289" s="99">
        <v>12</v>
      </c>
      <c r="K289" s="99" t="s">
        <v>210</v>
      </c>
      <c r="L289" s="102">
        <v>41437</v>
      </c>
      <c r="M289" s="115"/>
      <c r="N289" s="100">
        <f t="shared" si="11"/>
        <v>41801.98</v>
      </c>
      <c r="O289" s="102"/>
    </row>
    <row r="290" spans="1:15">
      <c r="A290" s="98" t="s">
        <v>835</v>
      </c>
      <c r="B290" s="98"/>
      <c r="C290" s="98"/>
      <c r="D290" s="98" t="s">
        <v>826</v>
      </c>
      <c r="E290" s="115"/>
      <c r="F290" s="99"/>
      <c r="G290" s="118" t="s">
        <v>827</v>
      </c>
      <c r="H290" s="99" t="s">
        <v>208</v>
      </c>
      <c r="I290" s="99" t="s">
        <v>828</v>
      </c>
      <c r="J290" s="99">
        <v>12</v>
      </c>
      <c r="K290" s="99" t="s">
        <v>210</v>
      </c>
      <c r="L290" s="102">
        <v>41437</v>
      </c>
      <c r="M290" s="115"/>
      <c r="N290" s="100">
        <f t="shared" si="11"/>
        <v>41801.98</v>
      </c>
      <c r="O290" s="102"/>
    </row>
    <row r="291" spans="1:15">
      <c r="A291" s="98" t="s">
        <v>836</v>
      </c>
      <c r="B291" s="98"/>
      <c r="C291" s="98"/>
      <c r="D291" s="98" t="s">
        <v>837</v>
      </c>
      <c r="E291" s="115"/>
      <c r="F291" s="99"/>
      <c r="G291" s="118" t="s">
        <v>827</v>
      </c>
      <c r="H291" s="99" t="s">
        <v>208</v>
      </c>
      <c r="I291" s="99" t="s">
        <v>828</v>
      </c>
      <c r="J291" s="99">
        <v>12</v>
      </c>
      <c r="K291" s="99" t="s">
        <v>210</v>
      </c>
      <c r="L291" s="102">
        <v>41437</v>
      </c>
      <c r="M291" s="115"/>
      <c r="N291" s="100">
        <f t="shared" si="11"/>
        <v>41801.98</v>
      </c>
      <c r="O291" s="102"/>
    </row>
    <row r="292" spans="1:15">
      <c r="A292" s="98" t="s">
        <v>838</v>
      </c>
      <c r="B292" s="98"/>
      <c r="C292" s="98"/>
      <c r="D292" s="98" t="s">
        <v>837</v>
      </c>
      <c r="E292" s="115"/>
      <c r="F292" s="99"/>
      <c r="G292" s="118" t="s">
        <v>827</v>
      </c>
      <c r="H292" s="99" t="s">
        <v>208</v>
      </c>
      <c r="I292" s="99" t="s">
        <v>828</v>
      </c>
      <c r="J292" s="99">
        <v>12</v>
      </c>
      <c r="K292" s="99" t="s">
        <v>210</v>
      </c>
      <c r="L292" s="102">
        <v>41437</v>
      </c>
      <c r="M292" s="115"/>
      <c r="N292" s="100">
        <f t="shared" si="11"/>
        <v>41801.98</v>
      </c>
      <c r="O292" s="102"/>
    </row>
    <row r="293" spans="1:15">
      <c r="A293" s="98" t="s">
        <v>839</v>
      </c>
      <c r="B293" s="98"/>
      <c r="C293" s="72"/>
      <c r="D293" s="98" t="s">
        <v>840</v>
      </c>
      <c r="E293" s="115"/>
      <c r="F293" s="99"/>
      <c r="G293" s="99" t="s">
        <v>841</v>
      </c>
      <c r="H293" s="99" t="s">
        <v>208</v>
      </c>
      <c r="I293" s="99" t="s">
        <v>209</v>
      </c>
      <c r="J293" s="99">
        <v>12</v>
      </c>
      <c r="K293" s="99"/>
      <c r="L293" s="102"/>
      <c r="M293" s="115"/>
      <c r="N293" s="102"/>
      <c r="O293" s="102" t="s">
        <v>235</v>
      </c>
    </row>
    <row r="294" spans="1:15">
      <c r="A294" s="98" t="s">
        <v>842</v>
      </c>
      <c r="B294" s="98" t="s">
        <v>843</v>
      </c>
      <c r="C294" s="98"/>
      <c r="D294" s="98" t="s">
        <v>815</v>
      </c>
      <c r="E294" s="115"/>
      <c r="F294" s="99"/>
      <c r="G294" s="99" t="s">
        <v>816</v>
      </c>
      <c r="H294" s="99" t="s">
        <v>208</v>
      </c>
      <c r="I294" s="99" t="s">
        <v>209</v>
      </c>
      <c r="J294" s="99">
        <v>12</v>
      </c>
      <c r="K294" s="99" t="s">
        <v>210</v>
      </c>
      <c r="L294" s="102">
        <v>41450</v>
      </c>
      <c r="M294" s="115" t="s">
        <v>346</v>
      </c>
      <c r="N294" s="100">
        <f t="shared" ref="N294:N297" si="12">L294+(J294*7*4.345)</f>
        <v>41814.98</v>
      </c>
      <c r="O294" s="117"/>
    </row>
    <row r="295" spans="1:15">
      <c r="A295" s="98" t="s">
        <v>844</v>
      </c>
      <c r="B295" s="98" t="s">
        <v>845</v>
      </c>
      <c r="C295" s="98"/>
      <c r="D295" s="98" t="s">
        <v>815</v>
      </c>
      <c r="E295" s="115"/>
      <c r="F295" s="99"/>
      <c r="G295" s="99" t="s">
        <v>816</v>
      </c>
      <c r="H295" s="99" t="s">
        <v>208</v>
      </c>
      <c r="I295" s="99" t="s">
        <v>209</v>
      </c>
      <c r="J295" s="99">
        <v>12</v>
      </c>
      <c r="K295" s="99"/>
      <c r="L295" s="102">
        <v>41451</v>
      </c>
      <c r="M295" s="115" t="s">
        <v>346</v>
      </c>
      <c r="N295" s="100">
        <f t="shared" si="12"/>
        <v>41815.98</v>
      </c>
      <c r="O295" s="117"/>
    </row>
    <row r="296" spans="1:15">
      <c r="A296" s="98" t="s">
        <v>846</v>
      </c>
      <c r="B296" s="98"/>
      <c r="C296" s="98"/>
      <c r="D296" s="98" t="s">
        <v>847</v>
      </c>
      <c r="E296" s="115"/>
      <c r="F296" s="99"/>
      <c r="G296" s="99" t="s">
        <v>848</v>
      </c>
      <c r="H296" s="99" t="s">
        <v>333</v>
      </c>
      <c r="I296" s="99"/>
      <c r="J296" s="99">
        <v>24</v>
      </c>
      <c r="K296" s="99"/>
      <c r="L296" s="100">
        <v>41431</v>
      </c>
      <c r="M296" s="115"/>
      <c r="N296" s="100">
        <f t="shared" si="12"/>
        <v>42160.96</v>
      </c>
      <c r="O296" s="102" t="s">
        <v>849</v>
      </c>
    </row>
    <row r="297" spans="1:15">
      <c r="A297" s="98" t="s">
        <v>850</v>
      </c>
      <c r="B297" s="98"/>
      <c r="C297" s="98"/>
      <c r="D297" s="98" t="s">
        <v>851</v>
      </c>
      <c r="E297" s="115"/>
      <c r="F297" s="99"/>
      <c r="G297" s="99" t="s">
        <v>852</v>
      </c>
      <c r="H297" s="99" t="s">
        <v>208</v>
      </c>
      <c r="I297" s="99" t="s">
        <v>828</v>
      </c>
      <c r="J297" s="99">
        <v>12</v>
      </c>
      <c r="K297" s="99" t="s">
        <v>210</v>
      </c>
      <c r="L297" s="100">
        <v>41458</v>
      </c>
      <c r="M297" s="115" t="s">
        <v>346</v>
      </c>
      <c r="N297" s="100">
        <f t="shared" si="12"/>
        <v>41822.98</v>
      </c>
      <c r="O297" s="102"/>
    </row>
    <row r="298" spans="1:15">
      <c r="A298" s="98" t="s">
        <v>853</v>
      </c>
      <c r="B298" s="98"/>
      <c r="C298" s="98"/>
      <c r="D298" s="98" t="s">
        <v>759</v>
      </c>
      <c r="E298" s="115"/>
      <c r="F298" s="99"/>
      <c r="G298" s="118"/>
      <c r="H298" s="99" t="s">
        <v>333</v>
      </c>
      <c r="I298" s="99"/>
      <c r="J298" s="99"/>
      <c r="K298" s="99"/>
      <c r="L298" s="100"/>
      <c r="M298" s="115"/>
      <c r="N298" s="102"/>
      <c r="O298" s="102"/>
    </row>
    <row r="299" spans="1:15">
      <c r="A299" s="98" t="s">
        <v>854</v>
      </c>
      <c r="B299" s="98"/>
      <c r="C299" s="98"/>
      <c r="D299" s="98" t="s">
        <v>759</v>
      </c>
      <c r="E299" s="115"/>
      <c r="F299" s="99"/>
      <c r="G299" s="118"/>
      <c r="H299" s="99" t="s">
        <v>333</v>
      </c>
      <c r="I299" s="99"/>
      <c r="J299" s="99"/>
      <c r="K299" s="99"/>
      <c r="L299" s="100"/>
      <c r="M299" s="115"/>
      <c r="N299" s="102"/>
      <c r="O299" s="102" t="s">
        <v>321</v>
      </c>
    </row>
    <row r="300" spans="1:15">
      <c r="A300" s="98" t="s">
        <v>855</v>
      </c>
      <c r="B300" s="98"/>
      <c r="C300" s="98"/>
      <c r="D300" s="98" t="s">
        <v>856</v>
      </c>
      <c r="E300" s="115"/>
      <c r="F300" s="99">
        <v>2013</v>
      </c>
      <c r="G300" s="118" t="s">
        <v>708</v>
      </c>
      <c r="H300" s="99" t="s">
        <v>208</v>
      </c>
      <c r="I300" s="99"/>
      <c r="J300" s="99">
        <v>12</v>
      </c>
      <c r="K300" s="99" t="s">
        <v>210</v>
      </c>
      <c r="L300" s="100">
        <v>41562</v>
      </c>
      <c r="M300" s="115" t="s">
        <v>346</v>
      </c>
      <c r="N300" s="100">
        <f t="shared" ref="N300:N305" si="13">L300+(J300*7*4.345)</f>
        <v>41926.98</v>
      </c>
      <c r="O300" s="102" t="s">
        <v>321</v>
      </c>
    </row>
    <row r="301" spans="1:15">
      <c r="A301" s="98" t="s">
        <v>857</v>
      </c>
      <c r="B301" s="98"/>
      <c r="C301" s="98"/>
      <c r="D301" s="98" t="s">
        <v>856</v>
      </c>
      <c r="E301" s="115"/>
      <c r="F301" s="99">
        <v>2013</v>
      </c>
      <c r="G301" s="118" t="s">
        <v>708</v>
      </c>
      <c r="H301" s="99" t="s">
        <v>208</v>
      </c>
      <c r="I301" s="99"/>
      <c r="J301" s="99">
        <v>12</v>
      </c>
      <c r="K301" s="99" t="s">
        <v>210</v>
      </c>
      <c r="L301" s="100">
        <v>41562</v>
      </c>
      <c r="M301" s="115" t="s">
        <v>346</v>
      </c>
      <c r="N301" s="100">
        <f t="shared" si="13"/>
        <v>41926.98</v>
      </c>
      <c r="O301" s="102" t="s">
        <v>321</v>
      </c>
    </row>
    <row r="302" spans="1:15">
      <c r="A302" s="98" t="s">
        <v>858</v>
      </c>
      <c r="B302" s="98"/>
      <c r="C302" s="98"/>
      <c r="D302" s="98" t="s">
        <v>856</v>
      </c>
      <c r="E302" s="115"/>
      <c r="F302" s="99">
        <v>2013</v>
      </c>
      <c r="G302" s="118" t="s">
        <v>708</v>
      </c>
      <c r="H302" s="99" t="s">
        <v>208</v>
      </c>
      <c r="I302" s="99"/>
      <c r="J302" s="99">
        <v>12</v>
      </c>
      <c r="K302" s="99" t="s">
        <v>210</v>
      </c>
      <c r="L302" s="100">
        <v>41562</v>
      </c>
      <c r="M302" s="115" t="s">
        <v>346</v>
      </c>
      <c r="N302" s="100">
        <f t="shared" si="13"/>
        <v>41926.98</v>
      </c>
      <c r="O302" s="102" t="s">
        <v>321</v>
      </c>
    </row>
    <row r="303" spans="1:15">
      <c r="A303" s="98" t="s">
        <v>859</v>
      </c>
      <c r="B303" s="98"/>
      <c r="C303" s="98"/>
      <c r="D303" s="98" t="s">
        <v>856</v>
      </c>
      <c r="E303" s="115"/>
      <c r="F303" s="99">
        <v>2013</v>
      </c>
      <c r="G303" s="118" t="s">
        <v>708</v>
      </c>
      <c r="H303" s="99" t="s">
        <v>208</v>
      </c>
      <c r="I303" s="99"/>
      <c r="J303" s="99">
        <v>12</v>
      </c>
      <c r="K303" s="99" t="s">
        <v>210</v>
      </c>
      <c r="L303" s="100">
        <v>41562</v>
      </c>
      <c r="M303" s="115" t="s">
        <v>346</v>
      </c>
      <c r="N303" s="100">
        <f t="shared" si="13"/>
        <v>41926.98</v>
      </c>
      <c r="O303" s="102" t="s">
        <v>321</v>
      </c>
    </row>
    <row r="304" spans="1:15">
      <c r="A304" s="98" t="s">
        <v>860</v>
      </c>
      <c r="B304" s="98"/>
      <c r="C304" s="98"/>
      <c r="D304" s="98" t="s">
        <v>856</v>
      </c>
      <c r="E304" s="115"/>
      <c r="F304" s="99">
        <v>2013</v>
      </c>
      <c r="G304" s="118" t="s">
        <v>708</v>
      </c>
      <c r="H304" s="99" t="s">
        <v>208</v>
      </c>
      <c r="I304" s="99"/>
      <c r="J304" s="99">
        <v>12</v>
      </c>
      <c r="K304" s="99" t="s">
        <v>210</v>
      </c>
      <c r="L304" s="100">
        <v>41562</v>
      </c>
      <c r="M304" s="115" t="s">
        <v>346</v>
      </c>
      <c r="N304" s="100">
        <f t="shared" si="13"/>
        <v>41926.98</v>
      </c>
      <c r="O304" s="102" t="s">
        <v>321</v>
      </c>
    </row>
    <row r="305" spans="1:15">
      <c r="A305" s="98" t="s">
        <v>861</v>
      </c>
      <c r="B305" s="98"/>
      <c r="C305" s="98"/>
      <c r="D305" s="98" t="s">
        <v>856</v>
      </c>
      <c r="E305" s="115"/>
      <c r="F305" s="99">
        <v>2013</v>
      </c>
      <c r="G305" s="118" t="s">
        <v>708</v>
      </c>
      <c r="H305" s="99" t="s">
        <v>208</v>
      </c>
      <c r="I305" s="99"/>
      <c r="J305" s="99">
        <v>12</v>
      </c>
      <c r="K305" s="99" t="s">
        <v>210</v>
      </c>
      <c r="L305" s="100">
        <v>41562</v>
      </c>
      <c r="M305" s="115" t="s">
        <v>346</v>
      </c>
      <c r="N305" s="100">
        <f t="shared" si="13"/>
        <v>41926.98</v>
      </c>
      <c r="O305" s="102" t="s">
        <v>321</v>
      </c>
    </row>
    <row r="306" spans="1:15">
      <c r="A306" s="98" t="s">
        <v>862</v>
      </c>
      <c r="B306" s="98"/>
      <c r="C306" s="98"/>
      <c r="D306" s="98" t="s">
        <v>856</v>
      </c>
      <c r="E306" s="115"/>
      <c r="F306" s="99">
        <v>2013</v>
      </c>
      <c r="G306" s="118" t="s">
        <v>708</v>
      </c>
      <c r="H306" s="99" t="s">
        <v>208</v>
      </c>
      <c r="I306" s="99"/>
      <c r="J306" s="99">
        <v>12</v>
      </c>
      <c r="K306" s="99" t="s">
        <v>335</v>
      </c>
      <c r="L306" s="100"/>
      <c r="M306" s="115"/>
      <c r="N306" s="102"/>
      <c r="O306" s="102" t="s">
        <v>321</v>
      </c>
    </row>
    <row r="307" spans="1:15">
      <c r="A307" s="98" t="s">
        <v>863</v>
      </c>
      <c r="B307" s="98"/>
      <c r="C307" s="98"/>
      <c r="D307" s="98" t="s">
        <v>856</v>
      </c>
      <c r="E307" s="115"/>
      <c r="F307" s="99">
        <v>2013</v>
      </c>
      <c r="G307" s="118" t="s">
        <v>708</v>
      </c>
      <c r="H307" s="99" t="s">
        <v>208</v>
      </c>
      <c r="I307" s="99"/>
      <c r="J307" s="99">
        <v>12</v>
      </c>
      <c r="K307" s="99" t="s">
        <v>335</v>
      </c>
      <c r="L307" s="100"/>
      <c r="M307" s="115"/>
      <c r="N307" s="102"/>
      <c r="O307" s="102" t="s">
        <v>321</v>
      </c>
    </row>
    <row r="308" spans="1:15">
      <c r="A308" s="98" t="s">
        <v>864</v>
      </c>
      <c r="B308" s="98"/>
      <c r="C308" s="98"/>
      <c r="D308" s="98" t="s">
        <v>856</v>
      </c>
      <c r="E308" s="115"/>
      <c r="F308" s="99">
        <v>2013</v>
      </c>
      <c r="G308" s="118" t="s">
        <v>708</v>
      </c>
      <c r="H308" s="99" t="s">
        <v>208</v>
      </c>
      <c r="I308" s="99"/>
      <c r="J308" s="99">
        <v>12</v>
      </c>
      <c r="K308" s="99" t="s">
        <v>335</v>
      </c>
      <c r="L308" s="100"/>
      <c r="M308" s="115"/>
      <c r="N308" s="102"/>
      <c r="O308" s="102" t="s">
        <v>321</v>
      </c>
    </row>
    <row r="309" spans="1:15">
      <c r="A309" s="98" t="s">
        <v>865</v>
      </c>
      <c r="B309" s="98"/>
      <c r="C309" s="98"/>
      <c r="D309" s="98" t="s">
        <v>815</v>
      </c>
      <c r="E309" s="115"/>
      <c r="F309" s="99">
        <v>2013</v>
      </c>
      <c r="G309" s="118" t="s">
        <v>816</v>
      </c>
      <c r="H309" s="99" t="s">
        <v>208</v>
      </c>
      <c r="I309" s="99"/>
      <c r="J309" s="99">
        <v>12</v>
      </c>
      <c r="K309" s="99" t="s">
        <v>335</v>
      </c>
      <c r="L309" s="100"/>
      <c r="M309" s="115"/>
      <c r="N309" s="102"/>
      <c r="O309" s="102" t="s">
        <v>321</v>
      </c>
    </row>
    <row r="310" spans="1:15">
      <c r="A310" s="98" t="s">
        <v>866</v>
      </c>
      <c r="B310" s="98"/>
      <c r="C310" s="98"/>
      <c r="D310" s="98" t="s">
        <v>815</v>
      </c>
      <c r="E310" s="115"/>
      <c r="F310" s="99">
        <v>2013</v>
      </c>
      <c r="G310" s="118" t="s">
        <v>816</v>
      </c>
      <c r="H310" s="99" t="s">
        <v>208</v>
      </c>
      <c r="I310" s="99"/>
      <c r="J310" s="99">
        <v>12</v>
      </c>
      <c r="K310" s="99" t="s">
        <v>335</v>
      </c>
      <c r="L310" s="100"/>
      <c r="M310" s="115"/>
      <c r="N310" s="102"/>
      <c r="O310" s="102" t="s">
        <v>321</v>
      </c>
    </row>
    <row r="311" spans="1:15">
      <c r="A311" s="98" t="s">
        <v>867</v>
      </c>
      <c r="B311" s="98"/>
      <c r="C311" s="98"/>
      <c r="D311" s="98" t="s">
        <v>815</v>
      </c>
      <c r="E311" s="115"/>
      <c r="F311" s="99">
        <v>2013</v>
      </c>
      <c r="G311" s="118" t="s">
        <v>816</v>
      </c>
      <c r="H311" s="99" t="s">
        <v>208</v>
      </c>
      <c r="I311" s="99"/>
      <c r="J311" s="99">
        <v>12</v>
      </c>
      <c r="K311" s="99" t="s">
        <v>335</v>
      </c>
      <c r="L311" s="100"/>
      <c r="M311" s="115"/>
      <c r="N311" s="102"/>
      <c r="O311" s="102" t="s">
        <v>321</v>
      </c>
    </row>
    <row r="312" spans="1:15">
      <c r="A312" s="98" t="s">
        <v>868</v>
      </c>
      <c r="B312" s="98"/>
      <c r="C312" s="98"/>
      <c r="D312" s="98" t="s">
        <v>869</v>
      </c>
      <c r="E312" s="115"/>
      <c r="F312" s="99">
        <v>2013</v>
      </c>
      <c r="G312" s="118"/>
      <c r="H312" s="99" t="s">
        <v>208</v>
      </c>
      <c r="I312" s="99"/>
      <c r="J312" s="99">
        <v>12</v>
      </c>
      <c r="K312" s="99" t="s">
        <v>210</v>
      </c>
      <c r="L312" s="100"/>
      <c r="M312" s="115"/>
      <c r="N312" s="102"/>
      <c r="O312" s="102" t="s">
        <v>235</v>
      </c>
    </row>
    <row r="313" spans="1:15">
      <c r="A313" s="123" t="s">
        <v>870</v>
      </c>
      <c r="B313" s="123"/>
      <c r="C313" s="123"/>
      <c r="D313" s="123" t="s">
        <v>871</v>
      </c>
      <c r="E313" s="124" t="s">
        <v>872</v>
      </c>
      <c r="F313" s="126">
        <v>2013</v>
      </c>
      <c r="G313" s="126"/>
      <c r="H313" s="126" t="s">
        <v>333</v>
      </c>
      <c r="I313" s="126"/>
      <c r="J313" s="126"/>
      <c r="K313" s="126" t="s">
        <v>210</v>
      </c>
      <c r="L313" s="129"/>
      <c r="M313" s="124"/>
      <c r="N313" s="129"/>
      <c r="O313" s="127" t="s">
        <v>321</v>
      </c>
    </row>
  </sheetData>
  <pageMargins left="0.75" right="0.75" top="1" bottom="1" header="0.5" footer="0.5"/>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tabSelected="1" workbookViewId="0">
      <selection activeCell="L6" sqref="L6"/>
    </sheetView>
  </sheetViews>
  <sheetFormatPr defaultColWidth="9.14285714285714" defaultRowHeight="15"/>
  <cols>
    <col min="2" max="2" width="30.7142857142857" customWidth="1"/>
    <col min="3" max="6" width="15.7142857142857" customWidth="1"/>
  </cols>
  <sheetData>
    <row r="1" ht="15.75" spans="1:10">
      <c r="A1" s="61" t="s">
        <v>873</v>
      </c>
      <c r="B1" s="61"/>
      <c r="C1" s="61"/>
      <c r="D1" s="61"/>
      <c r="E1" s="61"/>
      <c r="F1" s="62"/>
      <c r="G1" s="63" t="s">
        <v>874</v>
      </c>
      <c r="H1" s="64"/>
      <c r="I1" s="64"/>
      <c r="J1" s="65"/>
    </row>
    <row r="2" spans="1:10">
      <c r="A2" s="66" t="s">
        <v>875</v>
      </c>
      <c r="B2" s="67" t="s">
        <v>876</v>
      </c>
      <c r="C2" s="67" t="s">
        <v>877</v>
      </c>
      <c r="D2" s="67" t="s">
        <v>878</v>
      </c>
      <c r="E2" s="68" t="s">
        <v>879</v>
      </c>
      <c r="F2" s="67" t="s">
        <v>880</v>
      </c>
      <c r="G2" s="66"/>
      <c r="H2" s="66"/>
      <c r="I2" s="66"/>
      <c r="J2" s="66"/>
    </row>
    <row r="3" spans="1:10">
      <c r="A3" s="69">
        <v>1</v>
      </c>
      <c r="B3" s="70" t="s">
        <v>881</v>
      </c>
      <c r="C3" s="70" t="s">
        <v>882</v>
      </c>
      <c r="D3" s="71" t="s">
        <v>883</v>
      </c>
      <c r="E3" s="71"/>
      <c r="F3" s="70"/>
      <c r="G3" s="66"/>
      <c r="H3" s="66"/>
      <c r="I3" s="66"/>
      <c r="J3" s="66"/>
    </row>
    <row r="4" spans="1:10">
      <c r="A4" s="69">
        <v>2</v>
      </c>
      <c r="B4" s="70" t="s">
        <v>884</v>
      </c>
      <c r="C4" s="70" t="s">
        <v>882</v>
      </c>
      <c r="D4" s="71" t="s">
        <v>885</v>
      </c>
      <c r="E4" s="71"/>
      <c r="F4" s="70"/>
      <c r="G4" s="66"/>
      <c r="H4" s="66"/>
      <c r="I4" s="66"/>
      <c r="J4" s="66"/>
    </row>
    <row r="5" spans="1:10">
      <c r="A5" s="69">
        <v>3</v>
      </c>
      <c r="B5" s="70" t="s">
        <v>886</v>
      </c>
      <c r="C5" s="70" t="s">
        <v>882</v>
      </c>
      <c r="D5" s="71" t="s">
        <v>887</v>
      </c>
      <c r="E5" s="71"/>
      <c r="F5" s="70"/>
      <c r="G5" s="66"/>
      <c r="H5" s="66"/>
      <c r="I5" s="66"/>
      <c r="J5" s="66"/>
    </row>
    <row r="6" spans="1:10">
      <c r="A6" s="69">
        <v>4</v>
      </c>
      <c r="B6" s="70" t="s">
        <v>888</v>
      </c>
      <c r="C6" s="70" t="s">
        <v>889</v>
      </c>
      <c r="D6" s="71" t="s">
        <v>890</v>
      </c>
      <c r="E6" s="71"/>
      <c r="F6" s="70"/>
      <c r="G6" s="66"/>
      <c r="H6" s="66"/>
      <c r="I6" s="66"/>
      <c r="J6" s="66"/>
    </row>
    <row r="7" spans="1:10">
      <c r="A7" s="69">
        <v>5</v>
      </c>
      <c r="B7" s="70" t="s">
        <v>891</v>
      </c>
      <c r="C7" s="70" t="s">
        <v>889</v>
      </c>
      <c r="D7" s="71" t="s">
        <v>892</v>
      </c>
      <c r="E7" s="71"/>
      <c r="F7" s="70"/>
      <c r="G7" s="66"/>
      <c r="H7" s="66"/>
      <c r="I7" s="66"/>
      <c r="J7" s="66"/>
    </row>
    <row r="8" spans="1:10">
      <c r="A8" s="69">
        <v>6</v>
      </c>
      <c r="B8" s="70" t="s">
        <v>893</v>
      </c>
      <c r="C8" s="70" t="s">
        <v>889</v>
      </c>
      <c r="D8" s="71" t="s">
        <v>894</v>
      </c>
      <c r="E8" s="71"/>
      <c r="F8" s="70"/>
      <c r="G8" s="66"/>
      <c r="H8" s="66"/>
      <c r="I8" s="66"/>
      <c r="J8" s="66"/>
    </row>
    <row r="9" spans="1:10">
      <c r="A9" s="69">
        <v>7</v>
      </c>
      <c r="B9" s="70" t="s">
        <v>895</v>
      </c>
      <c r="C9" s="70" t="s">
        <v>889</v>
      </c>
      <c r="D9" s="71" t="s">
        <v>896</v>
      </c>
      <c r="E9" s="71"/>
      <c r="F9" s="70"/>
      <c r="G9" s="66"/>
      <c r="H9" s="66"/>
      <c r="I9" s="66"/>
      <c r="J9" s="66"/>
    </row>
    <row r="10" spans="1:10">
      <c r="A10" s="69">
        <v>8</v>
      </c>
      <c r="B10" s="70" t="s">
        <v>897</v>
      </c>
      <c r="C10" s="70" t="s">
        <v>889</v>
      </c>
      <c r="D10" s="71" t="s">
        <v>896</v>
      </c>
      <c r="E10" s="71"/>
      <c r="F10" s="70"/>
      <c r="G10" s="66"/>
      <c r="H10" s="66"/>
      <c r="I10" s="66"/>
      <c r="J10" s="66"/>
    </row>
    <row r="11" spans="1:10">
      <c r="A11" s="69">
        <v>9</v>
      </c>
      <c r="B11" s="70" t="s">
        <v>898</v>
      </c>
      <c r="C11" s="70" t="s">
        <v>889</v>
      </c>
      <c r="D11" s="71" t="s">
        <v>896</v>
      </c>
      <c r="E11" s="71"/>
      <c r="F11" s="70"/>
      <c r="G11" s="66"/>
      <c r="H11" s="66"/>
      <c r="I11" s="66"/>
      <c r="J11" s="66"/>
    </row>
    <row r="12" spans="1:10">
      <c r="A12" s="69"/>
      <c r="B12" s="70"/>
      <c r="C12" s="70"/>
      <c r="D12" s="71"/>
      <c r="E12" s="71"/>
      <c r="F12" s="70"/>
      <c r="G12" s="66"/>
      <c r="H12" s="66"/>
      <c r="I12" s="66"/>
      <c r="J12" s="66"/>
    </row>
    <row r="13" spans="1:10">
      <c r="A13" s="69"/>
      <c r="B13" s="70"/>
      <c r="C13" s="70"/>
      <c r="D13" s="71"/>
      <c r="E13" s="71"/>
      <c r="F13" s="70"/>
      <c r="G13" s="66"/>
      <c r="H13" s="66"/>
      <c r="I13" s="66"/>
      <c r="J13" s="66"/>
    </row>
    <row r="14" spans="1:10">
      <c r="A14" s="69"/>
      <c r="B14" s="70"/>
      <c r="C14" s="70"/>
      <c r="D14" s="71"/>
      <c r="E14" s="71"/>
      <c r="F14" s="70"/>
      <c r="G14" s="66"/>
      <c r="H14" s="66"/>
      <c r="I14" s="66"/>
      <c r="J14" s="66"/>
    </row>
    <row r="15" spans="1:10">
      <c r="A15" s="69"/>
      <c r="B15" s="70"/>
      <c r="C15" s="70"/>
      <c r="D15" s="71"/>
      <c r="E15" s="71"/>
      <c r="F15" s="70"/>
      <c r="G15" s="66"/>
      <c r="H15" s="66"/>
      <c r="I15" s="66"/>
      <c r="J15" s="66"/>
    </row>
    <row r="16" spans="1:10">
      <c r="A16" s="69"/>
      <c r="B16" s="70"/>
      <c r="C16" s="70"/>
      <c r="D16" s="71"/>
      <c r="E16" s="71"/>
      <c r="F16" s="70"/>
      <c r="G16" s="66"/>
      <c r="H16" s="66"/>
      <c r="I16" s="66"/>
      <c r="J16" s="66"/>
    </row>
    <row r="17" spans="1:10">
      <c r="A17" s="69"/>
      <c r="B17" s="70"/>
      <c r="C17" s="70"/>
      <c r="D17" s="71"/>
      <c r="E17" s="71"/>
      <c r="F17" s="70"/>
      <c r="G17" s="66"/>
      <c r="H17" s="66"/>
      <c r="I17" s="66"/>
      <c r="J17" s="66"/>
    </row>
    <row r="18" spans="1:10">
      <c r="A18" s="69"/>
      <c r="B18" s="70"/>
      <c r="C18" s="70"/>
      <c r="D18" s="71"/>
      <c r="E18" s="71"/>
      <c r="F18" s="70"/>
      <c r="G18" s="66"/>
      <c r="H18" s="66"/>
      <c r="I18" s="66"/>
      <c r="J18" s="66"/>
    </row>
  </sheetData>
  <mergeCells count="2">
    <mergeCell ref="A1:F1"/>
    <mergeCell ref="G1:J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3"/>
  <sheetViews>
    <sheetView workbookViewId="0">
      <selection activeCell="D67" sqref="D67"/>
    </sheetView>
  </sheetViews>
  <sheetFormatPr defaultColWidth="9.14285714285714" defaultRowHeight="15"/>
  <cols>
    <col min="2" max="2" width="12" customWidth="1"/>
    <col min="3" max="3" width="47.2857142857143" customWidth="1"/>
    <col min="4" max="4" width="29.5714285714286" customWidth="1"/>
    <col min="5" max="5" width="30" customWidth="1"/>
    <col min="6" max="6" width="17.8571428571429" customWidth="1"/>
  </cols>
  <sheetData>
    <row r="1" spans="1:16">
      <c r="A1" s="1" t="s">
        <v>899</v>
      </c>
      <c r="B1" s="40"/>
      <c r="C1" s="40"/>
      <c r="D1" s="40"/>
      <c r="E1" s="40"/>
      <c r="F1" s="40"/>
    </row>
    <row r="2" spans="1:16">
      <c r="A2" s="40"/>
      <c r="B2" s="40"/>
      <c r="C2" s="40"/>
      <c r="D2" s="40"/>
      <c r="E2" s="40"/>
      <c r="F2" s="40"/>
    </row>
    <row r="3" ht="55" customHeight="1" spans="1:16">
      <c r="B3" s="41" t="s">
        <v>900</v>
      </c>
      <c r="C3" s="41"/>
      <c r="D3" s="41"/>
      <c r="E3" s="41"/>
      <c r="F3" s="41"/>
      <c r="G3" s="42"/>
      <c r="H3" s="42"/>
      <c r="I3" s="42"/>
      <c r="J3" s="42"/>
      <c r="K3" s="42"/>
      <c r="L3" s="42"/>
      <c r="M3" s="42"/>
      <c r="N3" s="42"/>
      <c r="O3" s="42"/>
      <c r="P3" s="42"/>
    </row>
    <row r="4" spans="1:16">
      <c r="B4" s="43" t="s">
        <v>336</v>
      </c>
    </row>
    <row r="5" ht="21.75" spans="1:16">
      <c r="B5" s="44" t="s">
        <v>901</v>
      </c>
      <c r="C5" s="44"/>
      <c r="D5" s="44"/>
      <c r="E5" s="44"/>
      <c r="F5" s="44"/>
    </row>
    <row r="6" ht="16.5" customHeight="1" spans="1:16">
      <c r="B6" s="45" t="s">
        <v>902</v>
      </c>
      <c r="C6" s="45" t="s">
        <v>903</v>
      </c>
      <c r="D6" s="45" t="s">
        <v>904</v>
      </c>
      <c r="E6" s="45"/>
      <c r="F6" s="45" t="s">
        <v>905</v>
      </c>
    </row>
    <row r="7" ht="30" customHeight="1" spans="1:16">
      <c r="B7" s="46" t="s">
        <v>906</v>
      </c>
      <c r="C7" s="46" t="s">
        <v>907</v>
      </c>
      <c r="D7" s="46" t="s">
        <v>908</v>
      </c>
      <c r="E7" s="46"/>
      <c r="F7" s="47">
        <v>44777</v>
      </c>
    </row>
    <row r="8" ht="30" customHeight="1" spans="1:16">
      <c r="B8" s="46" t="s">
        <v>909</v>
      </c>
      <c r="C8" s="48" t="s">
        <v>910</v>
      </c>
      <c r="D8" s="46" t="s">
        <v>911</v>
      </c>
      <c r="E8" s="46"/>
      <c r="F8" s="47">
        <v>44777</v>
      </c>
    </row>
    <row r="9" ht="30" customHeight="1" spans="1:16">
      <c r="B9" s="46" t="s">
        <v>912</v>
      </c>
      <c r="C9" s="48" t="s">
        <v>913</v>
      </c>
      <c r="D9" s="46" t="s">
        <v>914</v>
      </c>
      <c r="E9" s="47">
        <v>44777</v>
      </c>
      <c r="F9" s="49">
        <v>44777</v>
      </c>
    </row>
    <row r="10" ht="30" customHeight="1" spans="1:16">
      <c r="B10" s="46" t="s">
        <v>915</v>
      </c>
      <c r="C10" s="48" t="s">
        <v>916</v>
      </c>
      <c r="D10" s="46" t="s">
        <v>917</v>
      </c>
      <c r="E10" s="47"/>
      <c r="F10" s="47">
        <v>44777</v>
      </c>
    </row>
    <row r="11" ht="30" customHeight="1" spans="1:16">
      <c r="B11" s="46" t="s">
        <v>918</v>
      </c>
      <c r="C11" s="48" t="s">
        <v>919</v>
      </c>
      <c r="D11" s="46" t="s">
        <v>920</v>
      </c>
      <c r="E11" s="46"/>
      <c r="F11" s="47">
        <v>44777</v>
      </c>
    </row>
    <row r="12" ht="30" customHeight="1" spans="1:16">
      <c r="B12" s="46" t="s">
        <v>921</v>
      </c>
      <c r="C12" s="48" t="s">
        <v>922</v>
      </c>
      <c r="D12" s="46" t="s">
        <v>923</v>
      </c>
      <c r="E12" s="46"/>
      <c r="F12" s="47">
        <v>44777</v>
      </c>
    </row>
    <row r="13" ht="30" customHeight="1" spans="1:16">
      <c r="B13" s="46" t="s">
        <v>924</v>
      </c>
      <c r="C13" s="46" t="s">
        <v>925</v>
      </c>
      <c r="D13" s="46" t="s">
        <v>926</v>
      </c>
      <c r="E13" s="46"/>
      <c r="F13" s="47">
        <v>44777</v>
      </c>
    </row>
    <row r="14" ht="30" customHeight="1" spans="1:16">
      <c r="B14" s="46" t="s">
        <v>927</v>
      </c>
      <c r="C14" s="48" t="s">
        <v>928</v>
      </c>
      <c r="D14" s="46" t="s">
        <v>929</v>
      </c>
      <c r="E14" s="46"/>
      <c r="F14" s="47">
        <v>44777</v>
      </c>
    </row>
    <row r="15" ht="30" customHeight="1" spans="1:16">
      <c r="B15" s="46" t="s">
        <v>930</v>
      </c>
      <c r="C15" s="48" t="s">
        <v>931</v>
      </c>
      <c r="D15" s="46" t="s">
        <v>932</v>
      </c>
      <c r="E15" s="46"/>
      <c r="F15" s="47">
        <v>44777</v>
      </c>
    </row>
    <row r="16" ht="30" customHeight="1" spans="1:16">
      <c r="B16" s="46" t="s">
        <v>933</v>
      </c>
      <c r="C16" s="46" t="s">
        <v>934</v>
      </c>
      <c r="D16" s="46" t="s">
        <v>935</v>
      </c>
      <c r="E16" s="46"/>
      <c r="F16" s="47">
        <v>44777</v>
      </c>
    </row>
    <row r="17" ht="30" customHeight="1" spans="2:6">
      <c r="B17" s="46" t="s">
        <v>936</v>
      </c>
      <c r="C17" s="48" t="s">
        <v>937</v>
      </c>
      <c r="D17" s="46" t="s">
        <v>929</v>
      </c>
      <c r="E17" s="46"/>
      <c r="F17" s="50">
        <v>45201</v>
      </c>
    </row>
    <row r="18" ht="30" customHeight="1" spans="2:6">
      <c r="B18" s="46" t="s">
        <v>938</v>
      </c>
      <c r="C18" s="48" t="s">
        <v>939</v>
      </c>
      <c r="D18" s="51" t="s">
        <v>929</v>
      </c>
      <c r="E18" s="51"/>
      <c r="F18" s="50">
        <v>45201</v>
      </c>
    </row>
    <row r="19" ht="30" customHeight="1" spans="2:6">
      <c r="B19" s="46" t="s">
        <v>940</v>
      </c>
      <c r="C19" s="48" t="s">
        <v>941</v>
      </c>
      <c r="D19" s="51" t="s">
        <v>929</v>
      </c>
      <c r="E19" s="51"/>
      <c r="F19" s="50">
        <v>45201</v>
      </c>
    </row>
    <row r="20" ht="30" customHeight="1" spans="2:6">
      <c r="B20" s="46" t="s">
        <v>942</v>
      </c>
      <c r="C20" s="48" t="s">
        <v>943</v>
      </c>
      <c r="D20" s="51" t="s">
        <v>929</v>
      </c>
      <c r="E20" s="51"/>
      <c r="F20" s="50">
        <v>45201</v>
      </c>
    </row>
    <row r="21" ht="30" customHeight="1" spans="2:6">
      <c r="B21" s="46" t="s">
        <v>944</v>
      </c>
      <c r="C21" s="48" t="s">
        <v>945</v>
      </c>
      <c r="D21" s="51" t="s">
        <v>929</v>
      </c>
      <c r="E21" s="51"/>
      <c r="F21" s="50">
        <v>45201</v>
      </c>
    </row>
    <row r="22" ht="30" customHeight="1" spans="2:6">
      <c r="B22" s="52" t="s">
        <v>946</v>
      </c>
      <c r="C22" s="52" t="s">
        <v>947</v>
      </c>
      <c r="D22" s="52" t="s">
        <v>948</v>
      </c>
      <c r="E22" s="52"/>
      <c r="F22" s="53">
        <v>44777</v>
      </c>
    </row>
    <row r="24" spans="2:6">
      <c r="B24" s="54" t="s">
        <v>949</v>
      </c>
    </row>
    <row r="26" ht="24" spans="2:6">
      <c r="B26" s="6" t="s">
        <v>950</v>
      </c>
      <c r="C26" s="6"/>
      <c r="D26" s="6"/>
      <c r="E26" s="6"/>
    </row>
    <row r="27" ht="19.5" spans="2:6">
      <c r="B27" s="45" t="s">
        <v>902</v>
      </c>
      <c r="C27" s="45" t="s">
        <v>903</v>
      </c>
      <c r="D27" s="45" t="s">
        <v>904</v>
      </c>
      <c r="E27" s="45" t="s">
        <v>905</v>
      </c>
    </row>
    <row r="28" ht="30" customHeight="1" spans="2:6">
      <c r="B28" s="46" t="s">
        <v>951</v>
      </c>
      <c r="C28" s="46" t="s">
        <v>952</v>
      </c>
      <c r="D28" s="46" t="s">
        <v>953</v>
      </c>
      <c r="E28" s="55">
        <v>44777</v>
      </c>
    </row>
    <row r="29" ht="30" customHeight="1" spans="2:6">
      <c r="B29" s="46" t="s">
        <v>954</v>
      </c>
      <c r="C29" s="48" t="s">
        <v>955</v>
      </c>
      <c r="D29" s="46">
        <v>1141.4</v>
      </c>
      <c r="E29" s="47">
        <v>44777</v>
      </c>
    </row>
    <row r="30" ht="30" customHeight="1" spans="2:6">
      <c r="B30" s="46" t="s">
        <v>956</v>
      </c>
      <c r="C30" s="48" t="s">
        <v>957</v>
      </c>
      <c r="D30" s="46" t="s">
        <v>958</v>
      </c>
      <c r="E30" s="47">
        <v>44777</v>
      </c>
    </row>
    <row r="31" ht="30" customHeight="1" spans="2:6">
      <c r="B31" s="46" t="s">
        <v>959</v>
      </c>
      <c r="C31" s="48" t="s">
        <v>960</v>
      </c>
      <c r="D31" s="46" t="s">
        <v>961</v>
      </c>
      <c r="E31" s="47">
        <v>44777</v>
      </c>
    </row>
    <row r="32" ht="30" customHeight="1" spans="2:6">
      <c r="B32" s="46" t="s">
        <v>962</v>
      </c>
      <c r="C32" s="48" t="s">
        <v>963</v>
      </c>
      <c r="D32" s="46">
        <v>1141.14</v>
      </c>
      <c r="E32" s="47">
        <v>44777</v>
      </c>
    </row>
    <row r="33" ht="30" customHeight="1" spans="2:5">
      <c r="B33" s="46" t="s">
        <v>964</v>
      </c>
      <c r="C33" s="48" t="s">
        <v>145</v>
      </c>
      <c r="D33" s="46">
        <v>1141.15</v>
      </c>
      <c r="E33" s="47">
        <v>44777</v>
      </c>
    </row>
    <row r="34" ht="30" customHeight="1" spans="2:5">
      <c r="B34" s="46" t="s">
        <v>965</v>
      </c>
      <c r="C34" s="46" t="s">
        <v>966</v>
      </c>
      <c r="D34" s="46">
        <v>1141.18</v>
      </c>
      <c r="E34" s="47">
        <v>45202</v>
      </c>
    </row>
    <row r="35" ht="30" customHeight="1" spans="2:5">
      <c r="B35" s="46" t="s">
        <v>967</v>
      </c>
      <c r="C35" s="48" t="s">
        <v>968</v>
      </c>
      <c r="D35" s="46" t="s">
        <v>969</v>
      </c>
      <c r="E35" s="47">
        <v>44777</v>
      </c>
    </row>
    <row r="36" ht="30" customHeight="1" spans="2:5">
      <c r="B36" s="46" t="s">
        <v>970</v>
      </c>
      <c r="C36" s="48" t="s">
        <v>971</v>
      </c>
      <c r="D36" s="46" t="s">
        <v>972</v>
      </c>
      <c r="E36" s="47">
        <v>44777</v>
      </c>
    </row>
    <row r="37" ht="30" customHeight="1" spans="2:5">
      <c r="B37" s="46" t="s">
        <v>973</v>
      </c>
      <c r="C37" s="48" t="s">
        <v>974</v>
      </c>
      <c r="D37" s="46">
        <v>1141.21</v>
      </c>
      <c r="E37" s="47">
        <v>44777</v>
      </c>
    </row>
    <row r="38" ht="30" customHeight="1" spans="2:5">
      <c r="B38" s="46" t="s">
        <v>975</v>
      </c>
      <c r="C38" s="48" t="s">
        <v>976</v>
      </c>
      <c r="D38" s="46">
        <v>1141.22</v>
      </c>
      <c r="E38" s="47">
        <v>44777</v>
      </c>
    </row>
    <row r="39" ht="30" customHeight="1" spans="2:5">
      <c r="B39" s="46" t="s">
        <v>977</v>
      </c>
      <c r="C39" s="48" t="s">
        <v>978</v>
      </c>
      <c r="D39" s="46">
        <v>1141.23</v>
      </c>
      <c r="E39" s="47">
        <v>44777</v>
      </c>
    </row>
    <row r="40" ht="30" customHeight="1" spans="2:5">
      <c r="B40" s="46" t="s">
        <v>979</v>
      </c>
      <c r="C40" s="48" t="s">
        <v>980</v>
      </c>
      <c r="D40" s="46">
        <v>1141.24</v>
      </c>
      <c r="E40" s="47">
        <v>44777</v>
      </c>
    </row>
    <row r="41" ht="30" customHeight="1" spans="2:5">
      <c r="B41" s="46" t="s">
        <v>981</v>
      </c>
      <c r="C41" s="48" t="s">
        <v>982</v>
      </c>
      <c r="D41" s="46">
        <v>1141.24</v>
      </c>
      <c r="E41" s="47">
        <v>44777</v>
      </c>
    </row>
    <row r="42" ht="30" customHeight="1" spans="2:5">
      <c r="B42" s="46" t="s">
        <v>983</v>
      </c>
      <c r="C42" s="46" t="s">
        <v>984</v>
      </c>
      <c r="D42" s="46">
        <v>1141.3</v>
      </c>
      <c r="E42" s="47">
        <v>44777</v>
      </c>
    </row>
    <row r="43" ht="30" customHeight="1" spans="2:5">
      <c r="B43" s="46" t="s">
        <v>985</v>
      </c>
      <c r="C43" s="46" t="s">
        <v>986</v>
      </c>
      <c r="D43" s="46">
        <v>1141.32</v>
      </c>
      <c r="E43" s="47">
        <v>44777</v>
      </c>
    </row>
    <row r="44" ht="30" customHeight="1" spans="2:5">
      <c r="B44" s="46" t="s">
        <v>987</v>
      </c>
      <c r="C44" s="46" t="s">
        <v>988</v>
      </c>
      <c r="D44" s="46" t="s">
        <v>989</v>
      </c>
      <c r="E44" s="47">
        <v>44777</v>
      </c>
    </row>
    <row r="45" ht="23" customHeight="1" spans="2:5">
      <c r="B45" s="36" t="s">
        <v>336</v>
      </c>
    </row>
    <row r="46" ht="23" customHeight="1" spans="2:5">
      <c r="B46" s="44" t="s">
        <v>990</v>
      </c>
      <c r="C46" s="44"/>
      <c r="D46" s="44"/>
      <c r="E46" s="44"/>
    </row>
    <row r="47" ht="23" customHeight="1" spans="2:5">
      <c r="B47" s="45" t="s">
        <v>902</v>
      </c>
      <c r="C47" s="45" t="s">
        <v>903</v>
      </c>
      <c r="D47" s="45" t="s">
        <v>904</v>
      </c>
      <c r="E47" s="45" t="s">
        <v>991</v>
      </c>
    </row>
    <row r="48" ht="30" customHeight="1" spans="2:5">
      <c r="B48" s="46" t="s">
        <v>992</v>
      </c>
      <c r="C48" s="48" t="s">
        <v>993</v>
      </c>
      <c r="D48" s="46" t="s">
        <v>994</v>
      </c>
      <c r="E48" s="47">
        <v>44777</v>
      </c>
    </row>
    <row r="49" ht="30" customHeight="1" spans="2:5">
      <c r="B49" s="46" t="s">
        <v>995</v>
      </c>
      <c r="C49" s="46" t="s">
        <v>996</v>
      </c>
      <c r="D49" s="46"/>
      <c r="E49" s="47">
        <v>44777</v>
      </c>
    </row>
    <row r="50" ht="30" customHeight="1" spans="2:5">
      <c r="B50" s="46" t="s">
        <v>997</v>
      </c>
      <c r="C50" s="48" t="s">
        <v>998</v>
      </c>
      <c r="D50" s="46">
        <v>1012.9</v>
      </c>
      <c r="E50" s="47">
        <v>44777</v>
      </c>
    </row>
    <row r="51" ht="30" customHeight="1" spans="2:5">
      <c r="B51" s="46" t="s">
        <v>999</v>
      </c>
      <c r="C51" s="48" t="s">
        <v>1000</v>
      </c>
      <c r="D51" s="46">
        <v>4456.4</v>
      </c>
      <c r="E51" s="47">
        <v>44777</v>
      </c>
    </row>
    <row r="52" ht="30" customHeight="1" spans="2:5">
      <c r="B52" s="46" t="s">
        <v>1001</v>
      </c>
      <c r="C52" s="48" t="s">
        <v>1002</v>
      </c>
      <c r="D52" s="46">
        <v>4456.5</v>
      </c>
      <c r="E52" s="47">
        <v>45201</v>
      </c>
    </row>
    <row r="53" spans="2:5">
      <c r="B53" s="36" t="s">
        <v>336</v>
      </c>
    </row>
    <row r="54" ht="21.75" spans="2:5">
      <c r="B54" s="44" t="s">
        <v>1003</v>
      </c>
      <c r="C54" s="44"/>
      <c r="D54" s="44"/>
      <c r="E54" s="44"/>
    </row>
    <row r="55" ht="19.5" spans="2:5">
      <c r="B55" s="45" t="s">
        <v>902</v>
      </c>
      <c r="C55" s="45" t="s">
        <v>903</v>
      </c>
      <c r="D55" s="45" t="s">
        <v>904</v>
      </c>
      <c r="E55" s="45" t="s">
        <v>905</v>
      </c>
    </row>
    <row r="56" ht="30" customHeight="1" spans="2:5">
      <c r="B56" s="46" t="s">
        <v>930</v>
      </c>
      <c r="C56" s="48" t="s">
        <v>931</v>
      </c>
      <c r="D56" s="46" t="s">
        <v>932</v>
      </c>
      <c r="E56" s="47">
        <v>44777</v>
      </c>
    </row>
    <row r="57" ht="30" customHeight="1" spans="2:5">
      <c r="B57" s="46" t="s">
        <v>1004</v>
      </c>
      <c r="C57" s="56" t="s">
        <v>1005</v>
      </c>
      <c r="D57" s="46" t="s">
        <v>1006</v>
      </c>
      <c r="E57" s="47">
        <v>44777</v>
      </c>
    </row>
    <row r="58" ht="30" customHeight="1" spans="2:5">
      <c r="B58" s="46" t="s">
        <v>1007</v>
      </c>
      <c r="C58" s="56" t="s">
        <v>1008</v>
      </c>
      <c r="D58" s="46" t="s">
        <v>1006</v>
      </c>
      <c r="E58" s="47">
        <v>44777</v>
      </c>
    </row>
    <row r="59" ht="30" customHeight="1" spans="2:5">
      <c r="B59" s="46" t="s">
        <v>1009</v>
      </c>
      <c r="C59" s="46" t="s">
        <v>1010</v>
      </c>
      <c r="D59" s="46" t="s">
        <v>1011</v>
      </c>
      <c r="E59" s="57"/>
    </row>
    <row r="60" ht="30" customHeight="1" spans="2:5">
      <c r="B60" s="46" t="s">
        <v>1012</v>
      </c>
      <c r="C60" s="46" t="s">
        <v>1013</v>
      </c>
      <c r="D60" s="46" t="s">
        <v>1011</v>
      </c>
      <c r="E60" s="58">
        <v>40977</v>
      </c>
    </row>
    <row r="61" ht="30" customHeight="1" spans="2:5">
      <c r="B61" s="46" t="s">
        <v>1014</v>
      </c>
      <c r="C61" s="46" t="s">
        <v>1015</v>
      </c>
      <c r="D61" s="46" t="s">
        <v>1016</v>
      </c>
      <c r="E61" s="55">
        <v>44777</v>
      </c>
    </row>
    <row r="62" ht="21" customHeight="1" spans="2:5">
      <c r="B62" s="46" t="s">
        <v>1017</v>
      </c>
      <c r="C62" s="48" t="s">
        <v>1018</v>
      </c>
      <c r="D62" s="46" t="s">
        <v>1019</v>
      </c>
      <c r="E62" s="55">
        <v>44777</v>
      </c>
    </row>
    <row r="63" ht="15.75" spans="2:5">
      <c r="B63" s="59"/>
      <c r="C63" s="59"/>
      <c r="D63" s="59"/>
      <c r="E63" s="60"/>
    </row>
    <row r="64" ht="15.75" spans="2:5">
      <c r="B64" s="59"/>
      <c r="C64" s="59"/>
      <c r="D64" s="59"/>
      <c r="E64" s="60"/>
    </row>
    <row r="65" ht="15.75" spans="2:5">
      <c r="B65" s="59"/>
      <c r="C65" s="59"/>
      <c r="D65" s="59"/>
      <c r="E65" s="60"/>
    </row>
    <row r="66" ht="15.75" spans="2:5">
      <c r="B66" s="59"/>
      <c r="C66" s="59"/>
      <c r="D66" s="59"/>
      <c r="E66" s="60"/>
    </row>
    <row r="67" ht="15.75" spans="2:5">
      <c r="B67" s="59"/>
      <c r="C67" s="59"/>
      <c r="D67" s="59"/>
      <c r="E67" s="60"/>
    </row>
    <row r="68" ht="15.75" spans="2:5">
      <c r="B68" s="59"/>
      <c r="C68" s="59"/>
      <c r="D68" s="59"/>
      <c r="E68" s="60"/>
    </row>
    <row r="69" ht="15.75" spans="2:5">
      <c r="B69" s="59"/>
      <c r="C69" s="59"/>
      <c r="D69" s="59"/>
      <c r="E69" s="60"/>
    </row>
    <row r="70" ht="15.75" spans="2:5">
      <c r="B70" s="59"/>
      <c r="C70" s="59"/>
      <c r="D70" s="59"/>
      <c r="E70" s="60"/>
    </row>
    <row r="71" ht="15.75" spans="2:5">
      <c r="B71" s="59"/>
      <c r="C71" s="59"/>
      <c r="D71" s="59"/>
      <c r="E71" s="60"/>
    </row>
    <row r="72" ht="15.75" spans="2:5">
      <c r="B72" s="59"/>
      <c r="C72" s="59"/>
      <c r="D72" s="59"/>
      <c r="E72" s="60"/>
    </row>
    <row r="73" ht="15.75" spans="2:5">
      <c r="B73" s="59"/>
      <c r="C73" s="59"/>
      <c r="D73" s="59"/>
      <c r="E73" s="60"/>
    </row>
    <row r="74" ht="15.75" spans="2:5">
      <c r="B74" s="59"/>
      <c r="C74" s="59"/>
      <c r="D74" s="59"/>
      <c r="E74" s="60"/>
    </row>
    <row r="75" ht="15.75" spans="2:5">
      <c r="B75" s="59"/>
      <c r="C75" s="59"/>
      <c r="D75" s="59"/>
      <c r="E75" s="60"/>
    </row>
    <row r="77" spans="2:5">
      <c r="B77" s="36" t="s">
        <v>336</v>
      </c>
    </row>
    <row r="79" spans="2:5">
      <c r="B79" s="36" t="s">
        <v>336</v>
      </c>
    </row>
    <row r="81" spans="2:2">
      <c r="B81" s="39" t="s">
        <v>1020</v>
      </c>
    </row>
    <row r="83" spans="2:2">
      <c r="B83" s="39" t="s">
        <v>1021</v>
      </c>
    </row>
  </sheetData>
  <mergeCells count="22">
    <mergeCell ref="B3:F3"/>
    <mergeCell ref="B5:F5"/>
    <mergeCell ref="D6:E6"/>
    <mergeCell ref="D7:E7"/>
    <mergeCell ref="D8:E8"/>
    <mergeCell ref="D11:E11"/>
    <mergeCell ref="D12:E12"/>
    <mergeCell ref="D13:E13"/>
    <mergeCell ref="D14:E14"/>
    <mergeCell ref="D15:E15"/>
    <mergeCell ref="D16:E16"/>
    <mergeCell ref="D17:E17"/>
    <mergeCell ref="D18:E18"/>
    <mergeCell ref="D19:E19"/>
    <mergeCell ref="D20:E20"/>
    <mergeCell ref="D21:E21"/>
    <mergeCell ref="D22:E22"/>
    <mergeCell ref="B26:E26"/>
    <mergeCell ref="B46:E46"/>
    <mergeCell ref="B54:E54"/>
    <mergeCell ref="E9:E10"/>
    <mergeCell ref="A1:F2"/>
  </mergeCell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4"/>
  <sheetViews>
    <sheetView workbookViewId="0">
      <selection activeCell="L14" sqref="L14"/>
    </sheetView>
  </sheetViews>
  <sheetFormatPr defaultColWidth="9.14285714285714" defaultRowHeight="15"/>
  <cols>
    <col min="1" max="1" width="16.4285714285714" customWidth="1"/>
    <col min="2" max="2" width="13.8571428571429" customWidth="1"/>
    <col min="3" max="3" width="57.7142857142857" customWidth="1"/>
    <col min="4" max="5" width="6.57142857142857" customWidth="1"/>
    <col min="6" max="6" width="5.85714285714286" customWidth="1"/>
    <col min="7" max="7" width="5.71428571428571" customWidth="1"/>
  </cols>
  <sheetData>
    <row r="1" ht="18" spans="1:13">
      <c r="A1" s="1" t="s">
        <v>1022</v>
      </c>
      <c r="B1" s="1"/>
      <c r="C1" s="1"/>
      <c r="D1" s="1"/>
      <c r="E1" s="1"/>
      <c r="F1" s="1"/>
      <c r="G1" s="1"/>
      <c r="H1" s="2"/>
      <c r="I1" s="2"/>
      <c r="J1" s="2"/>
      <c r="K1" s="2"/>
      <c r="L1" s="2"/>
      <c r="M1" s="2"/>
    </row>
    <row r="2" ht="18" spans="1:13">
      <c r="A2" s="3" t="s">
        <v>1023</v>
      </c>
      <c r="B2" s="3"/>
      <c r="C2" s="3"/>
      <c r="D2" s="3"/>
      <c r="E2" s="3"/>
      <c r="F2" s="3"/>
      <c r="G2" s="3"/>
      <c r="H2" s="2"/>
      <c r="I2" s="2"/>
      <c r="J2" s="2"/>
      <c r="K2" s="2"/>
      <c r="L2" s="2"/>
      <c r="M2" s="2"/>
    </row>
    <row r="3" ht="18" spans="1:13">
      <c r="A3" s="3"/>
      <c r="B3" s="3"/>
      <c r="C3" s="3"/>
      <c r="D3" s="3"/>
      <c r="E3" s="3"/>
      <c r="F3" s="3"/>
      <c r="G3" s="3"/>
      <c r="H3" s="2"/>
      <c r="I3" s="2"/>
      <c r="J3" s="2"/>
      <c r="K3" s="2"/>
      <c r="L3" s="2"/>
      <c r="M3" s="2"/>
    </row>
    <row r="4" spans="1:13">
      <c r="A4" s="3"/>
      <c r="B4" s="3"/>
      <c r="C4" s="3"/>
      <c r="D4" s="3"/>
      <c r="E4" s="3"/>
      <c r="F4" s="3"/>
      <c r="G4" s="3"/>
    </row>
    <row r="5" ht="15.75" spans="1:13">
      <c r="A5" s="3"/>
      <c r="B5" s="3"/>
      <c r="C5" s="3"/>
      <c r="D5" s="3"/>
      <c r="E5" s="3"/>
      <c r="F5" s="3"/>
      <c r="G5" s="3"/>
      <c r="H5" s="4"/>
      <c r="I5" s="4"/>
      <c r="J5" s="4"/>
      <c r="K5" s="4"/>
      <c r="L5" s="4"/>
      <c r="M5" s="4"/>
    </row>
    <row r="6" spans="1:13">
      <c r="A6" s="5" t="s">
        <v>336</v>
      </c>
    </row>
    <row r="7" ht="24" spans="1:13">
      <c r="A7" s="6" t="s">
        <v>590</v>
      </c>
      <c r="B7" s="6"/>
      <c r="C7" s="6"/>
      <c r="D7" s="6"/>
      <c r="E7" s="6"/>
      <c r="F7" s="6"/>
      <c r="G7" s="6"/>
    </row>
    <row r="8" ht="16.5" customHeight="1" spans="1:13">
      <c r="A8" s="7" t="s">
        <v>1024</v>
      </c>
      <c r="B8" s="7" t="s">
        <v>905</v>
      </c>
      <c r="C8" s="7" t="s">
        <v>1025</v>
      </c>
      <c r="D8" s="7" t="s">
        <v>1026</v>
      </c>
      <c r="E8" s="7"/>
      <c r="F8" s="7"/>
      <c r="G8" s="7"/>
    </row>
    <row r="9" ht="16.5" spans="1:13">
      <c r="A9" s="7"/>
      <c r="B9" s="7"/>
      <c r="C9" s="7"/>
      <c r="D9" s="8" t="s">
        <v>1027</v>
      </c>
      <c r="E9" s="9" t="s">
        <v>1028</v>
      </c>
      <c r="F9" s="9" t="s">
        <v>1029</v>
      </c>
      <c r="G9" s="10" t="s">
        <v>1030</v>
      </c>
    </row>
    <row r="10" ht="18" customHeight="1" spans="1:13">
      <c r="A10" s="11" t="s">
        <v>1031</v>
      </c>
      <c r="B10" s="12">
        <v>2000</v>
      </c>
      <c r="C10" s="13" t="s">
        <v>1032</v>
      </c>
      <c r="D10" s="14" t="s">
        <v>1033</v>
      </c>
      <c r="E10" s="15" t="s">
        <v>1033</v>
      </c>
      <c r="F10" s="15" t="s">
        <v>1033</v>
      </c>
      <c r="G10" s="16"/>
    </row>
    <row r="11" ht="30" customHeight="1" spans="1:13">
      <c r="A11" s="17" t="s">
        <v>1034</v>
      </c>
      <c r="B11" s="18">
        <v>2001</v>
      </c>
      <c r="C11" s="17" t="s">
        <v>1035</v>
      </c>
      <c r="D11" s="15" t="s">
        <v>1033</v>
      </c>
      <c r="E11" s="15" t="s">
        <v>1033</v>
      </c>
      <c r="F11" s="15" t="s">
        <v>1033</v>
      </c>
      <c r="G11" s="16"/>
    </row>
    <row r="12" ht="30" customHeight="1" spans="1:13">
      <c r="A12" s="17"/>
      <c r="B12" s="15" t="s">
        <v>1036</v>
      </c>
      <c r="C12" s="17"/>
      <c r="D12" s="15"/>
      <c r="E12" s="15"/>
      <c r="F12" s="15"/>
      <c r="G12" s="16"/>
    </row>
    <row r="13" ht="30" customHeight="1" spans="1:13">
      <c r="A13" s="17" t="s">
        <v>1037</v>
      </c>
      <c r="B13" s="15">
        <v>1998</v>
      </c>
      <c r="C13" s="17" t="s">
        <v>1038</v>
      </c>
      <c r="D13" s="15" t="s">
        <v>1033</v>
      </c>
      <c r="E13" s="15" t="s">
        <v>1033</v>
      </c>
      <c r="F13" s="15" t="s">
        <v>1033</v>
      </c>
      <c r="G13" s="16"/>
    </row>
    <row r="14" ht="30" customHeight="1" spans="1:13">
      <c r="A14" s="17" t="s">
        <v>1039</v>
      </c>
      <c r="B14" s="15">
        <v>2015</v>
      </c>
      <c r="C14" s="17" t="s">
        <v>1040</v>
      </c>
      <c r="D14" s="15" t="s">
        <v>1033</v>
      </c>
      <c r="E14" s="15" t="s">
        <v>1033</v>
      </c>
      <c r="F14" s="15" t="s">
        <v>1033</v>
      </c>
      <c r="G14" s="16"/>
    </row>
    <row r="15" ht="30" customHeight="1" spans="1:13">
      <c r="A15" s="17" t="s">
        <v>1041</v>
      </c>
      <c r="B15" s="15">
        <v>2005</v>
      </c>
      <c r="C15" s="19" t="s">
        <v>1042</v>
      </c>
      <c r="D15" s="14" t="s">
        <v>1033</v>
      </c>
      <c r="E15" s="15" t="s">
        <v>1033</v>
      </c>
      <c r="F15" s="15" t="s">
        <v>1033</v>
      </c>
      <c r="G15" s="16"/>
    </row>
    <row r="16" ht="30" customHeight="1" spans="1:13">
      <c r="A16" s="17" t="s">
        <v>1043</v>
      </c>
      <c r="B16" s="18">
        <v>2009</v>
      </c>
      <c r="C16" s="20" t="s">
        <v>1044</v>
      </c>
      <c r="D16" s="14" t="s">
        <v>1033</v>
      </c>
      <c r="E16" s="15" t="s">
        <v>1033</v>
      </c>
      <c r="F16" s="15" t="s">
        <v>1033</v>
      </c>
      <c r="G16" s="16"/>
    </row>
    <row r="17" ht="30" customHeight="1" spans="1:7">
      <c r="A17" s="17"/>
      <c r="B17" s="15" t="s">
        <v>1045</v>
      </c>
      <c r="C17" s="20"/>
      <c r="D17" s="14"/>
      <c r="E17" s="15"/>
      <c r="F17" s="15"/>
      <c r="G17" s="16"/>
    </row>
    <row r="18" ht="30" customHeight="1" spans="1:7">
      <c r="A18" s="17" t="s">
        <v>1046</v>
      </c>
      <c r="B18" s="15">
        <v>2009</v>
      </c>
      <c r="C18" s="21" t="s">
        <v>1047</v>
      </c>
      <c r="D18" s="14"/>
      <c r="E18" s="15" t="s">
        <v>1033</v>
      </c>
      <c r="F18" s="15" t="s">
        <v>1033</v>
      </c>
      <c r="G18" s="16"/>
    </row>
    <row r="19" ht="30" customHeight="1" spans="1:7">
      <c r="A19" s="17" t="s">
        <v>1048</v>
      </c>
      <c r="B19" s="15">
        <v>2009</v>
      </c>
      <c r="C19" s="20" t="s">
        <v>1049</v>
      </c>
      <c r="D19" s="14" t="s">
        <v>1033</v>
      </c>
      <c r="E19" s="15" t="s">
        <v>1033</v>
      </c>
      <c r="F19" s="15" t="s">
        <v>1033</v>
      </c>
      <c r="G19" s="16"/>
    </row>
    <row r="20" ht="30" customHeight="1" spans="1:7">
      <c r="A20" s="17" t="s">
        <v>1050</v>
      </c>
      <c r="B20" s="15">
        <v>2009</v>
      </c>
      <c r="C20" s="20" t="s">
        <v>1051</v>
      </c>
      <c r="D20" s="14" t="s">
        <v>1033</v>
      </c>
      <c r="E20" s="15" t="s">
        <v>1033</v>
      </c>
      <c r="F20" s="15" t="s">
        <v>1033</v>
      </c>
      <c r="G20" s="16"/>
    </row>
    <row r="21" ht="30" customHeight="1" spans="1:7">
      <c r="A21" s="17" t="s">
        <v>1052</v>
      </c>
      <c r="B21" s="15">
        <v>1999</v>
      </c>
      <c r="C21" s="20" t="s">
        <v>1053</v>
      </c>
      <c r="D21" s="14" t="s">
        <v>1033</v>
      </c>
      <c r="E21" s="15" t="s">
        <v>1033</v>
      </c>
      <c r="F21" s="15"/>
      <c r="G21" s="16"/>
    </row>
    <row r="22" ht="30" customHeight="1" spans="1:7">
      <c r="A22" s="17" t="s">
        <v>1054</v>
      </c>
      <c r="B22" s="15">
        <v>2008</v>
      </c>
      <c r="C22" s="20" t="s">
        <v>1055</v>
      </c>
      <c r="D22" s="14" t="s">
        <v>1033</v>
      </c>
      <c r="E22" s="15" t="s">
        <v>1033</v>
      </c>
      <c r="F22" s="15" t="s">
        <v>1033</v>
      </c>
      <c r="G22" s="16"/>
    </row>
    <row r="23" ht="30" customHeight="1" spans="1:7">
      <c r="A23" s="17" t="s">
        <v>1056</v>
      </c>
      <c r="B23" s="15">
        <v>2006</v>
      </c>
      <c r="C23" s="20" t="s">
        <v>1057</v>
      </c>
      <c r="D23" s="14" t="s">
        <v>1033</v>
      </c>
      <c r="E23" s="15" t="s">
        <v>1033</v>
      </c>
      <c r="F23" s="15"/>
      <c r="G23" s="16"/>
    </row>
    <row r="24" ht="30" customHeight="1" spans="1:7">
      <c r="A24" s="17" t="s">
        <v>1058</v>
      </c>
      <c r="B24" s="15">
        <v>2009</v>
      </c>
      <c r="C24" s="20" t="s">
        <v>1059</v>
      </c>
      <c r="D24" s="14" t="s">
        <v>1033</v>
      </c>
      <c r="E24" s="15" t="s">
        <v>1033</v>
      </c>
      <c r="F24" s="15" t="s">
        <v>1033</v>
      </c>
      <c r="G24" s="16"/>
    </row>
    <row r="25" ht="30" customHeight="1" spans="1:7">
      <c r="A25" s="17" t="s">
        <v>1060</v>
      </c>
      <c r="B25" s="15">
        <v>2003</v>
      </c>
      <c r="C25" s="17" t="s">
        <v>1061</v>
      </c>
      <c r="D25" s="15"/>
      <c r="E25" s="15"/>
      <c r="F25" s="15"/>
      <c r="G25" s="16"/>
    </row>
    <row r="26" ht="30" customHeight="1" spans="1:7">
      <c r="A26" s="17" t="s">
        <v>1062</v>
      </c>
      <c r="B26" s="15">
        <v>1995</v>
      </c>
      <c r="C26" s="17" t="s">
        <v>1063</v>
      </c>
      <c r="D26" s="15"/>
      <c r="E26" s="15"/>
      <c r="F26" s="15"/>
      <c r="G26" s="16"/>
    </row>
    <row r="27" ht="30" customHeight="1" spans="1:7">
      <c r="A27" s="17" t="s">
        <v>1064</v>
      </c>
      <c r="B27" s="15">
        <v>2015</v>
      </c>
      <c r="C27" s="20" t="s">
        <v>1065</v>
      </c>
      <c r="D27" s="14" t="s">
        <v>1033</v>
      </c>
      <c r="E27" s="15"/>
      <c r="F27" s="15"/>
      <c r="G27" s="16"/>
    </row>
    <row r="28" ht="30" customHeight="1" spans="1:7">
      <c r="A28" s="17" t="s">
        <v>1066</v>
      </c>
      <c r="B28" s="15">
        <v>2017</v>
      </c>
      <c r="C28" s="20" t="s">
        <v>1067</v>
      </c>
      <c r="D28" s="14" t="s">
        <v>1033</v>
      </c>
      <c r="E28" s="15" t="s">
        <v>1033</v>
      </c>
      <c r="F28" s="15" t="s">
        <v>1033</v>
      </c>
      <c r="G28" s="16"/>
    </row>
    <row r="29" ht="30" customHeight="1" spans="1:7">
      <c r="A29" s="17" t="s">
        <v>1068</v>
      </c>
      <c r="B29" s="15">
        <v>2017</v>
      </c>
      <c r="C29" s="20" t="s">
        <v>1069</v>
      </c>
      <c r="D29" s="14" t="s">
        <v>1033</v>
      </c>
      <c r="E29" s="15" t="s">
        <v>1033</v>
      </c>
      <c r="F29" s="15" t="s">
        <v>1033</v>
      </c>
      <c r="G29" s="16"/>
    </row>
    <row r="30" ht="30" customHeight="1" spans="1:7">
      <c r="A30" s="17" t="s">
        <v>1070</v>
      </c>
      <c r="B30" s="15">
        <v>2004</v>
      </c>
      <c r="C30" s="20" t="s">
        <v>1071</v>
      </c>
      <c r="D30" s="14" t="s">
        <v>1033</v>
      </c>
      <c r="E30" s="15" t="s">
        <v>1033</v>
      </c>
      <c r="F30" s="15" t="s">
        <v>1033</v>
      </c>
      <c r="G30" s="16"/>
    </row>
    <row r="31" ht="30" customHeight="1" spans="1:7">
      <c r="A31" s="17" t="s">
        <v>1072</v>
      </c>
      <c r="B31" s="15">
        <v>2007</v>
      </c>
      <c r="C31" s="17" t="s">
        <v>1073</v>
      </c>
      <c r="D31" s="15" t="s">
        <v>1033</v>
      </c>
      <c r="E31" s="15" t="s">
        <v>1033</v>
      </c>
      <c r="F31" s="15"/>
      <c r="G31" s="16"/>
    </row>
    <row r="32" ht="30" customHeight="1" spans="1:7">
      <c r="A32" s="17" t="s">
        <v>1074</v>
      </c>
      <c r="B32" s="15">
        <v>2007</v>
      </c>
      <c r="C32" s="17" t="s">
        <v>1075</v>
      </c>
      <c r="D32" s="15" t="s">
        <v>1033</v>
      </c>
      <c r="E32" s="15" t="s">
        <v>1033</v>
      </c>
      <c r="F32" s="15" t="s">
        <v>1033</v>
      </c>
      <c r="G32" s="16"/>
    </row>
    <row r="33" ht="30" customHeight="1" spans="1:7">
      <c r="A33" s="17" t="s">
        <v>1076</v>
      </c>
      <c r="B33" s="15" t="s">
        <v>1077</v>
      </c>
      <c r="C33" s="20" t="s">
        <v>1078</v>
      </c>
      <c r="D33" s="14" t="s">
        <v>1033</v>
      </c>
      <c r="E33" s="15" t="s">
        <v>1033</v>
      </c>
      <c r="F33" s="15" t="s">
        <v>1033</v>
      </c>
      <c r="G33" s="16"/>
    </row>
    <row r="34" ht="30" customHeight="1" spans="1:7">
      <c r="A34" s="17" t="s">
        <v>1079</v>
      </c>
      <c r="B34" s="15">
        <v>1997</v>
      </c>
      <c r="C34" s="17" t="s">
        <v>1080</v>
      </c>
      <c r="D34" s="15" t="s">
        <v>1033</v>
      </c>
      <c r="E34" s="15" t="s">
        <v>1033</v>
      </c>
      <c r="F34" s="15" t="s">
        <v>1033</v>
      </c>
      <c r="G34" s="16"/>
    </row>
    <row r="35" ht="30" customHeight="1" spans="1:7">
      <c r="A35" s="17" t="s">
        <v>1081</v>
      </c>
      <c r="B35" s="15">
        <v>2017</v>
      </c>
      <c r="C35" s="17" t="s">
        <v>1082</v>
      </c>
      <c r="D35" s="15" t="s">
        <v>1033</v>
      </c>
      <c r="E35" s="15" t="s">
        <v>1033</v>
      </c>
      <c r="F35" s="15"/>
      <c r="G35" s="16"/>
    </row>
    <row r="36" ht="30" customHeight="1" spans="1:7">
      <c r="A36" s="17" t="s">
        <v>1083</v>
      </c>
      <c r="B36" s="15">
        <v>2008</v>
      </c>
      <c r="C36" s="17" t="s">
        <v>1084</v>
      </c>
      <c r="D36" s="15"/>
      <c r="E36" s="15"/>
      <c r="F36" s="15"/>
      <c r="G36" s="16"/>
    </row>
    <row r="37" ht="23" customHeight="1" spans="1:7">
      <c r="A37" s="22"/>
      <c r="B37" s="23"/>
      <c r="C37" s="22"/>
      <c r="D37" s="23"/>
      <c r="E37" s="23"/>
      <c r="F37" s="23"/>
      <c r="G37" s="24"/>
    </row>
    <row r="38" ht="24" spans="1:7">
      <c r="A38" s="6" t="s">
        <v>1085</v>
      </c>
      <c r="B38" s="6"/>
      <c r="C38" s="6"/>
      <c r="D38" s="6"/>
      <c r="E38" s="6"/>
      <c r="F38" s="6"/>
      <c r="G38" s="6"/>
    </row>
    <row r="39" ht="30" customHeight="1" spans="1:7">
      <c r="A39" s="7" t="s">
        <v>1024</v>
      </c>
      <c r="B39" s="7" t="s">
        <v>905</v>
      </c>
      <c r="C39" s="25" t="s">
        <v>1032</v>
      </c>
      <c r="D39" s="26" t="s">
        <v>1026</v>
      </c>
      <c r="E39" s="26"/>
      <c r="F39" s="26"/>
      <c r="G39" s="26"/>
    </row>
    <row r="40" ht="30" customHeight="1" spans="1:7">
      <c r="A40" s="7"/>
      <c r="B40" s="7"/>
      <c r="C40" s="25"/>
      <c r="D40" s="27" t="s">
        <v>1027</v>
      </c>
      <c r="E40" s="9" t="s">
        <v>1028</v>
      </c>
      <c r="F40" s="9" t="s">
        <v>1029</v>
      </c>
      <c r="G40" s="9" t="s">
        <v>1030</v>
      </c>
    </row>
    <row r="41" ht="30" customHeight="1" spans="1:7">
      <c r="A41" s="17" t="s">
        <v>1086</v>
      </c>
      <c r="B41" s="15" t="s">
        <v>1087</v>
      </c>
      <c r="C41" s="17" t="s">
        <v>1088</v>
      </c>
      <c r="D41" s="15" t="s">
        <v>1033</v>
      </c>
      <c r="E41" s="15" t="s">
        <v>1033</v>
      </c>
      <c r="F41" s="15" t="s">
        <v>1033</v>
      </c>
      <c r="G41" s="16"/>
    </row>
    <row r="42" ht="30" customHeight="1" spans="1:7">
      <c r="A42" s="17" t="s">
        <v>1089</v>
      </c>
      <c r="B42" s="15" t="s">
        <v>1090</v>
      </c>
      <c r="C42" s="20" t="s">
        <v>1091</v>
      </c>
      <c r="D42" s="14" t="s">
        <v>1033</v>
      </c>
      <c r="E42" s="15" t="s">
        <v>1033</v>
      </c>
      <c r="F42" s="15"/>
      <c r="G42" s="16"/>
    </row>
    <row r="43" ht="30" customHeight="1" spans="1:7">
      <c r="A43" s="17" t="s">
        <v>1092</v>
      </c>
      <c r="B43" s="15">
        <v>2000</v>
      </c>
      <c r="C43" s="20" t="s">
        <v>1093</v>
      </c>
      <c r="D43" s="14" t="s">
        <v>1033</v>
      </c>
      <c r="E43" s="15" t="s">
        <v>1033</v>
      </c>
      <c r="F43" s="15"/>
      <c r="G43" s="16"/>
    </row>
    <row r="44" ht="30" customHeight="1" spans="1:7">
      <c r="A44" s="17" t="s">
        <v>1094</v>
      </c>
      <c r="B44" s="15">
        <v>2000</v>
      </c>
      <c r="C44" s="20" t="s">
        <v>1095</v>
      </c>
      <c r="D44" s="14" t="s">
        <v>1033</v>
      </c>
      <c r="E44" s="15" t="s">
        <v>1033</v>
      </c>
      <c r="F44" s="15"/>
      <c r="G44" s="16"/>
    </row>
    <row r="45" ht="30" customHeight="1" spans="1:7">
      <c r="A45" s="17" t="s">
        <v>1096</v>
      </c>
      <c r="B45" s="15">
        <v>2020</v>
      </c>
      <c r="C45" s="20" t="s">
        <v>1097</v>
      </c>
      <c r="D45" s="14" t="s">
        <v>1033</v>
      </c>
      <c r="E45" s="17" t="s">
        <v>1033</v>
      </c>
      <c r="F45" s="17" t="s">
        <v>1033</v>
      </c>
      <c r="G45" s="28"/>
    </row>
    <row r="46" ht="30" customHeight="1" spans="1:7">
      <c r="A46" s="17" t="s">
        <v>1098</v>
      </c>
      <c r="B46" s="15" t="s">
        <v>1099</v>
      </c>
      <c r="C46" s="20" t="s">
        <v>1100</v>
      </c>
      <c r="D46" s="14" t="s">
        <v>1033</v>
      </c>
      <c r="E46" s="15" t="s">
        <v>1033</v>
      </c>
      <c r="F46" s="15"/>
      <c r="G46" s="16"/>
    </row>
    <row r="47" ht="30" customHeight="1" spans="1:7">
      <c r="A47" s="17" t="s">
        <v>1101</v>
      </c>
      <c r="B47" s="15" t="s">
        <v>1102</v>
      </c>
      <c r="C47" s="20" t="s">
        <v>1103</v>
      </c>
      <c r="D47" s="14" t="s">
        <v>1033</v>
      </c>
      <c r="E47" s="15" t="s">
        <v>1033</v>
      </c>
      <c r="F47" s="15" t="s">
        <v>1033</v>
      </c>
      <c r="G47" s="16"/>
    </row>
    <row r="48" ht="30" customHeight="1" spans="1:7">
      <c r="A48" s="17" t="s">
        <v>1104</v>
      </c>
      <c r="B48" s="15" t="s">
        <v>1105</v>
      </c>
      <c r="C48" s="17" t="s">
        <v>146</v>
      </c>
      <c r="D48" s="15" t="s">
        <v>1033</v>
      </c>
      <c r="E48" s="15" t="s">
        <v>1033</v>
      </c>
      <c r="F48" s="15"/>
      <c r="G48" s="16"/>
    </row>
    <row r="49" ht="30" customHeight="1" spans="1:7">
      <c r="A49" s="17" t="s">
        <v>1106</v>
      </c>
      <c r="B49" s="15">
        <v>2000</v>
      </c>
      <c r="C49" s="20" t="s">
        <v>1107</v>
      </c>
      <c r="D49" s="14" t="s">
        <v>1033</v>
      </c>
      <c r="E49" s="15" t="s">
        <v>1033</v>
      </c>
      <c r="F49" s="15" t="s">
        <v>1033</v>
      </c>
      <c r="G49" s="16"/>
    </row>
    <row r="50" ht="30" customHeight="1" spans="1:7">
      <c r="A50" s="17" t="s">
        <v>1108</v>
      </c>
      <c r="B50" s="15">
        <v>2000</v>
      </c>
      <c r="C50" s="20" t="s">
        <v>1109</v>
      </c>
      <c r="D50" s="14" t="s">
        <v>1033</v>
      </c>
      <c r="E50" s="15" t="s">
        <v>1033</v>
      </c>
      <c r="F50" s="15" t="s">
        <v>1033</v>
      </c>
      <c r="G50" s="16"/>
    </row>
    <row r="51" ht="30" customHeight="1" spans="1:7">
      <c r="A51" s="17" t="s">
        <v>1110</v>
      </c>
      <c r="B51" s="15">
        <v>1997</v>
      </c>
      <c r="C51" s="20" t="s">
        <v>1111</v>
      </c>
      <c r="D51" s="14" t="s">
        <v>1033</v>
      </c>
      <c r="E51" s="15" t="s">
        <v>1033</v>
      </c>
      <c r="F51" s="15"/>
      <c r="G51" s="16"/>
    </row>
    <row r="52" ht="30" customHeight="1" spans="1:7">
      <c r="A52" s="17" t="s">
        <v>1112</v>
      </c>
      <c r="B52" s="15">
        <v>2019</v>
      </c>
      <c r="C52" s="20" t="s">
        <v>1113</v>
      </c>
      <c r="D52" s="14" t="s">
        <v>1033</v>
      </c>
      <c r="E52" s="15" t="s">
        <v>1033</v>
      </c>
      <c r="F52" s="15" t="s">
        <v>1033</v>
      </c>
      <c r="G52" s="16"/>
    </row>
    <row r="53" ht="30" customHeight="1" spans="1:7">
      <c r="A53" s="17" t="s">
        <v>1114</v>
      </c>
      <c r="B53" s="15">
        <v>2021</v>
      </c>
      <c r="C53" s="20" t="s">
        <v>1115</v>
      </c>
      <c r="D53" s="14" t="s">
        <v>1033</v>
      </c>
      <c r="E53" s="15" t="s">
        <v>1033</v>
      </c>
      <c r="F53" s="15" t="s">
        <v>1033</v>
      </c>
      <c r="G53" s="16"/>
    </row>
    <row r="54" ht="30" customHeight="1" spans="1:7">
      <c r="A54" s="17" t="s">
        <v>1116</v>
      </c>
      <c r="B54" s="15">
        <v>2018</v>
      </c>
      <c r="C54" s="20" t="s">
        <v>1117</v>
      </c>
      <c r="D54" s="14" t="s">
        <v>1033</v>
      </c>
      <c r="E54" s="15" t="s">
        <v>1033</v>
      </c>
      <c r="F54" s="15"/>
      <c r="G54" s="16"/>
    </row>
    <row r="55" ht="30" customHeight="1" spans="1:7">
      <c r="A55" s="17" t="s">
        <v>1118</v>
      </c>
      <c r="B55" s="15">
        <v>2019</v>
      </c>
      <c r="C55" s="17" t="s">
        <v>1119</v>
      </c>
      <c r="D55" s="15" t="s">
        <v>1033</v>
      </c>
      <c r="E55" s="15" t="s">
        <v>1033</v>
      </c>
      <c r="F55" s="15"/>
      <c r="G55" s="16"/>
    </row>
    <row r="56" ht="30" customHeight="1" spans="1:7">
      <c r="A56" s="29" t="s">
        <v>1120</v>
      </c>
      <c r="B56" s="18">
        <v>1996</v>
      </c>
      <c r="C56" s="29" t="s">
        <v>1121</v>
      </c>
      <c r="D56" s="30"/>
      <c r="E56" s="30"/>
      <c r="F56" s="18"/>
      <c r="G56" s="31"/>
    </row>
    <row r="57" ht="20" customHeight="1" spans="1:7">
      <c r="A57" s="32" t="s">
        <v>1122</v>
      </c>
      <c r="B57" s="33"/>
      <c r="C57" s="34" t="s">
        <v>154</v>
      </c>
      <c r="D57" s="15" t="s">
        <v>1033</v>
      </c>
      <c r="E57" s="15" t="s">
        <v>1033</v>
      </c>
      <c r="F57" s="33"/>
      <c r="G57" s="35"/>
    </row>
    <row r="58" spans="1:7">
      <c r="A58" s="36" t="s">
        <v>336</v>
      </c>
    </row>
    <row r="59" ht="27" spans="1:7">
      <c r="A59" s="37" t="s">
        <v>326</v>
      </c>
      <c r="B59" s="37"/>
      <c r="C59" s="37"/>
      <c r="D59" s="37"/>
      <c r="E59" s="37"/>
      <c r="F59" s="37"/>
      <c r="G59" s="37"/>
    </row>
    <row r="60" ht="16.5" customHeight="1" spans="1:7">
      <c r="A60" s="7" t="s">
        <v>1024</v>
      </c>
      <c r="B60" s="7" t="s">
        <v>905</v>
      </c>
      <c r="C60" s="25" t="s">
        <v>1032</v>
      </c>
      <c r="D60" s="7" t="s">
        <v>1026</v>
      </c>
      <c r="E60" s="7"/>
      <c r="F60" s="7"/>
      <c r="G60" s="7"/>
    </row>
    <row r="61" ht="16.5" spans="1:7">
      <c r="A61" s="7"/>
      <c r="B61" s="7"/>
      <c r="C61" s="25"/>
      <c r="D61" s="38" t="s">
        <v>1027</v>
      </c>
      <c r="E61" s="9" t="s">
        <v>1028</v>
      </c>
      <c r="F61" s="9" t="s">
        <v>1029</v>
      </c>
      <c r="G61" s="10" t="s">
        <v>1030</v>
      </c>
    </row>
    <row r="62" ht="30" customHeight="1" spans="1:7">
      <c r="A62" s="17" t="s">
        <v>1123</v>
      </c>
      <c r="B62" s="15">
        <v>2014</v>
      </c>
      <c r="C62" s="17" t="s">
        <v>1124</v>
      </c>
      <c r="D62" s="15" t="s">
        <v>1033</v>
      </c>
      <c r="E62" s="15" t="s">
        <v>1033</v>
      </c>
      <c r="F62" s="15" t="s">
        <v>1033</v>
      </c>
      <c r="G62" s="16"/>
    </row>
    <row r="63" ht="30" customHeight="1" spans="1:7">
      <c r="A63" s="17" t="s">
        <v>1125</v>
      </c>
      <c r="B63" s="15">
        <v>2014</v>
      </c>
      <c r="C63" s="20" t="s">
        <v>1126</v>
      </c>
      <c r="D63" s="14" t="s">
        <v>1033</v>
      </c>
      <c r="E63" s="15" t="s">
        <v>1033</v>
      </c>
      <c r="F63" s="15" t="s">
        <v>1033</v>
      </c>
      <c r="G63" s="16"/>
    </row>
    <row r="64" ht="30" customHeight="1" spans="1:7">
      <c r="A64" s="17" t="s">
        <v>1127</v>
      </c>
      <c r="B64" s="15">
        <v>2014</v>
      </c>
      <c r="C64" s="17" t="s">
        <v>1128</v>
      </c>
      <c r="D64" s="15" t="s">
        <v>1033</v>
      </c>
      <c r="E64" s="15" t="s">
        <v>1033</v>
      </c>
      <c r="F64" s="15" t="s">
        <v>1033</v>
      </c>
      <c r="G64" s="16"/>
    </row>
    <row r="65" ht="30" customHeight="1" spans="1:7">
      <c r="A65" s="17" t="s">
        <v>1129</v>
      </c>
      <c r="B65" s="15">
        <v>2014</v>
      </c>
      <c r="C65" s="17" t="s">
        <v>1130</v>
      </c>
      <c r="D65" s="15" t="s">
        <v>1033</v>
      </c>
      <c r="E65" s="17"/>
      <c r="F65" s="15"/>
      <c r="G65" s="16"/>
    </row>
    <row r="66" ht="30" customHeight="1" spans="1:7">
      <c r="A66" s="17" t="s">
        <v>1131</v>
      </c>
      <c r="B66" s="15">
        <v>2014</v>
      </c>
      <c r="C66" s="20" t="s">
        <v>1132</v>
      </c>
      <c r="D66" s="14" t="s">
        <v>1033</v>
      </c>
      <c r="E66" s="15" t="s">
        <v>1033</v>
      </c>
      <c r="F66" s="15" t="s">
        <v>1033</v>
      </c>
      <c r="G66" s="16"/>
    </row>
    <row r="67" ht="30" customHeight="1" spans="1:7">
      <c r="A67" s="17" t="s">
        <v>1133</v>
      </c>
      <c r="B67" s="15">
        <v>1998</v>
      </c>
      <c r="C67" s="17" t="s">
        <v>1134</v>
      </c>
      <c r="D67" s="15" t="s">
        <v>1033</v>
      </c>
      <c r="E67" s="15"/>
      <c r="F67" s="15"/>
      <c r="G67" s="16"/>
    </row>
    <row r="68" spans="1:7">
      <c r="A68" s="39" t="s">
        <v>336</v>
      </c>
    </row>
    <row r="69" spans="1:7">
      <c r="A69" s="39" t="s">
        <v>336</v>
      </c>
    </row>
    <row r="70" ht="24" spans="1:7">
      <c r="A70" s="6" t="s">
        <v>1135</v>
      </c>
      <c r="B70" s="6"/>
      <c r="C70" s="6"/>
      <c r="D70" s="6"/>
      <c r="E70" s="6"/>
      <c r="F70" s="6"/>
      <c r="G70" s="6"/>
    </row>
    <row r="71" ht="16.5" customHeight="1" spans="1:7">
      <c r="A71" s="7" t="s">
        <v>1024</v>
      </c>
      <c r="B71" s="7" t="s">
        <v>905</v>
      </c>
      <c r="C71" s="25" t="s">
        <v>1032</v>
      </c>
      <c r="D71" s="7" t="s">
        <v>1026</v>
      </c>
      <c r="E71" s="7"/>
      <c r="F71" s="7"/>
      <c r="G71" s="7"/>
    </row>
    <row r="72" ht="16.5" spans="1:7">
      <c r="A72" s="7"/>
      <c r="B72" s="7"/>
      <c r="C72" s="25"/>
      <c r="D72" s="38" t="s">
        <v>1027</v>
      </c>
      <c r="E72" s="9" t="s">
        <v>1028</v>
      </c>
      <c r="F72" s="9" t="s">
        <v>1029</v>
      </c>
      <c r="G72" s="10" t="s">
        <v>1030</v>
      </c>
    </row>
    <row r="73" ht="30" customHeight="1" spans="1:7">
      <c r="A73" s="17" t="s">
        <v>1136</v>
      </c>
      <c r="B73" s="15" t="s">
        <v>1137</v>
      </c>
      <c r="C73" s="17" t="s">
        <v>1138</v>
      </c>
      <c r="D73" s="15" t="s">
        <v>1033</v>
      </c>
      <c r="E73" s="15"/>
      <c r="F73" s="15"/>
      <c r="G73" s="16"/>
    </row>
    <row r="74" ht="30" customHeight="1" spans="1:7">
      <c r="A74" s="17" t="s">
        <v>1139</v>
      </c>
      <c r="B74" s="15" t="s">
        <v>1137</v>
      </c>
      <c r="C74" s="17" t="s">
        <v>1140</v>
      </c>
      <c r="D74" s="15" t="s">
        <v>1033</v>
      </c>
      <c r="E74" s="15"/>
      <c r="F74" s="15"/>
      <c r="G74" s="16"/>
    </row>
    <row r="75" ht="30" customHeight="1" spans="1:7">
      <c r="A75" s="17" t="s">
        <v>1141</v>
      </c>
      <c r="B75" s="15">
        <v>2003</v>
      </c>
      <c r="C75" s="17" t="s">
        <v>1142</v>
      </c>
      <c r="D75" s="15" t="s">
        <v>1033</v>
      </c>
      <c r="E75" s="15"/>
      <c r="F75" s="15"/>
      <c r="G75" s="16"/>
    </row>
    <row r="76" ht="30" customHeight="1" spans="1:7">
      <c r="A76" s="17" t="s">
        <v>1143</v>
      </c>
      <c r="B76" s="15">
        <v>2003</v>
      </c>
      <c r="C76" s="17" t="s">
        <v>1144</v>
      </c>
      <c r="D76" s="15" t="s">
        <v>1033</v>
      </c>
      <c r="E76" s="15"/>
      <c r="F76" s="15"/>
      <c r="G76" s="16"/>
    </row>
    <row r="77" ht="30" customHeight="1" spans="1:7">
      <c r="A77" s="17" t="s">
        <v>1145</v>
      </c>
      <c r="B77" s="18">
        <v>2003</v>
      </c>
      <c r="C77" s="20" t="s">
        <v>1146</v>
      </c>
      <c r="D77" s="14" t="s">
        <v>1033</v>
      </c>
      <c r="E77" s="15"/>
      <c r="F77" s="15"/>
      <c r="G77" s="16"/>
    </row>
    <row r="78" ht="30" customHeight="1" spans="1:7">
      <c r="A78" s="17"/>
      <c r="B78" s="18" t="s">
        <v>1147</v>
      </c>
      <c r="C78" s="20"/>
      <c r="D78" s="14"/>
      <c r="E78" s="15"/>
      <c r="F78" s="15"/>
      <c r="G78" s="16"/>
    </row>
    <row r="79" ht="30" customHeight="1" spans="1:7">
      <c r="A79" s="17"/>
      <c r="B79" s="15" t="s">
        <v>1148</v>
      </c>
      <c r="C79" s="20"/>
      <c r="D79" s="14"/>
      <c r="E79" s="15"/>
      <c r="F79" s="15"/>
      <c r="G79" s="16"/>
    </row>
    <row r="80" ht="30" customHeight="1" spans="1:7">
      <c r="A80" s="17" t="s">
        <v>1149</v>
      </c>
      <c r="B80" s="15" t="s">
        <v>1150</v>
      </c>
      <c r="C80" s="20" t="s">
        <v>1151</v>
      </c>
      <c r="D80" s="14" t="s">
        <v>1033</v>
      </c>
      <c r="E80" s="15"/>
      <c r="F80" s="15"/>
      <c r="G80" s="16"/>
    </row>
    <row r="81" ht="30" customHeight="1" spans="1:7">
      <c r="A81" s="17" t="s">
        <v>1152</v>
      </c>
      <c r="B81" s="15">
        <v>2008</v>
      </c>
      <c r="C81" s="17" t="s">
        <v>1153</v>
      </c>
      <c r="D81" s="15" t="s">
        <v>1033</v>
      </c>
      <c r="E81" s="15"/>
      <c r="F81" s="15"/>
      <c r="G81" s="16"/>
    </row>
    <row r="82" ht="30" customHeight="1" spans="1:7">
      <c r="A82" s="17" t="s">
        <v>1154</v>
      </c>
      <c r="B82" s="15">
        <v>2008</v>
      </c>
      <c r="C82" s="17" t="s">
        <v>1153</v>
      </c>
      <c r="D82" s="15" t="s">
        <v>1033</v>
      </c>
      <c r="E82" s="15"/>
      <c r="F82" s="15"/>
      <c r="G82" s="16"/>
    </row>
    <row r="83" ht="34" customHeight="1" spans="1:7">
      <c r="A83" s="15" t="s">
        <v>1155</v>
      </c>
      <c r="B83" s="15" t="s">
        <v>1156</v>
      </c>
      <c r="C83" s="20" t="s">
        <v>1157</v>
      </c>
      <c r="D83" s="14" t="s">
        <v>1033</v>
      </c>
      <c r="E83" s="15"/>
      <c r="F83" s="15"/>
      <c r="G83" s="16"/>
    </row>
    <row r="84" spans="1:7">
      <c r="A84" s="36" t="s">
        <v>336</v>
      </c>
    </row>
  </sheetData>
  <mergeCells count="40">
    <mergeCell ref="A1:G1"/>
    <mergeCell ref="A7:G7"/>
    <mergeCell ref="D8:G8"/>
    <mergeCell ref="A38:G38"/>
    <mergeCell ref="D39:G39"/>
    <mergeCell ref="A59:G59"/>
    <mergeCell ref="D60:G60"/>
    <mergeCell ref="A70:G70"/>
    <mergeCell ref="D71:G71"/>
    <mergeCell ref="A8:A9"/>
    <mergeCell ref="A11:A12"/>
    <mergeCell ref="A16:A17"/>
    <mergeCell ref="A39:A40"/>
    <mergeCell ref="A60:A61"/>
    <mergeCell ref="A71:A72"/>
    <mergeCell ref="A77:A79"/>
    <mergeCell ref="B8:B9"/>
    <mergeCell ref="B39:B40"/>
    <mergeCell ref="B60:B61"/>
    <mergeCell ref="B71:B72"/>
    <mergeCell ref="C8:C9"/>
    <mergeCell ref="C11:C12"/>
    <mergeCell ref="C16:C17"/>
    <mergeCell ref="C39:C40"/>
    <mergeCell ref="C60:C61"/>
    <mergeCell ref="C71:C72"/>
    <mergeCell ref="C77:C79"/>
    <mergeCell ref="D11:D12"/>
    <mergeCell ref="D16:D17"/>
    <mergeCell ref="D77:D79"/>
    <mergeCell ref="E11:E12"/>
    <mergeCell ref="E16:E17"/>
    <mergeCell ref="E77:E79"/>
    <mergeCell ref="F11:F12"/>
    <mergeCell ref="F16:F17"/>
    <mergeCell ref="F77:F79"/>
    <mergeCell ref="G11:G12"/>
    <mergeCell ref="G16:G17"/>
    <mergeCell ref="G77:G79"/>
    <mergeCell ref="A2:G5"/>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Hewlett-Packard Company</Company>
  <Application>Microsoft Excel</Application>
  <HeadingPairs>
    <vt:vector size="2" baseType="variant">
      <vt:variant>
        <vt:lpstr>工作表</vt:lpstr>
      </vt:variant>
      <vt:variant>
        <vt:i4>10</vt:i4>
      </vt:variant>
    </vt:vector>
  </HeadingPairs>
  <TitlesOfParts>
    <vt:vector size="10" baseType="lpstr">
      <vt:lpstr>SOILS</vt:lpstr>
      <vt:lpstr>AGGREGATE</vt:lpstr>
      <vt:lpstr>CONCRETE</vt:lpstr>
      <vt:lpstr>ROCK</vt:lpstr>
      <vt:lpstr>FIELD</vt:lpstr>
      <vt:lpstr>PRICES</vt:lpstr>
      <vt:lpstr>EQUIP INVENTORY</vt:lpstr>
      <vt:lpstr>PERSONAL </vt:lpstr>
      <vt:lpstr>TEST FORMS</vt:lpstr>
      <vt:lpstr>TEST TYPE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pevoa</dc:creator>
  <cp:lastModifiedBy>Leka Heve Bonoro</cp:lastModifiedBy>
  <dcterms:created xsi:type="dcterms:W3CDTF">2015-10-06T23:23:00Z</dcterms:created>
  <cp:lastPrinted>2023-07-11T00:35:00Z</cp:lastPrinted>
  <dcterms:modified xsi:type="dcterms:W3CDTF">2026-04-05T19:55:10Z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4604DE7C5EB64F1FBEB5FC97CF75668C_13</vt:lpwstr>
  </property>
  <property fmtid="{D5CDD505-2E9C-101B-9397-08002B2CF9AE}" pid="3" name="KSOProductBuildVer">
    <vt:lpwstr>1033-12.1.0.25242</vt:lpwstr>
  </property>
  <property fmtid="{D5CDD505-2E9C-101B-9397-08002B2CF9AE}" pid="4" name="CalculationRule">
    <vt:i4>0</vt:i4>
  </property>
</Properties>
</file>
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PUBLIC" sheetId="3" r:id="rId1"/>
    <sheet name="PRIVATE" sheetId="1" r:id="rId2"/>
    <sheet name="ITEMS" sheetId="2" r:id="rId3"/>
  </sheets>
  <definedNames>
    <definedName name="_xlnm.Print_Area" localSheetId="1">PRIVATE!$A$1:$F$47</definedName>
    <definedName name="_xlnm.Print_Area" localSheetId="0">PUBLIC!$A$1:$F$45</definedName>
    <definedName name="PRIRATE">ITEMS!$B$4:$E$90</definedName>
    <definedName name="PUBRATE">ITEMS!$B$4:$D$90</definedName>
    <definedName name="TESTFEE">ITEMS!$E$4:$E$90</definedName>
    <definedName name="TESTFEES">ITEMS!$B$4:$E$90</definedName>
    <definedName name="TESTS">ITEMS!$B$4:$B$90</definedName>
    <definedName name="UNITS">ITEMS!$B$4:$C$90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<sst xmlns="http://schemas.openxmlformats.org/spreadsheetml/2006/main" count="243" uniqueCount="149">
  <si>
    <t xml:space="preserve">                  </t>
  </si>
  <si>
    <t>INVOICE STATEMENT</t>
  </si>
  <si>
    <t>Department of Works &amp; Highways, Materials Testing Laboratory</t>
  </si>
  <si>
    <t>DATE:</t>
  </si>
  <si>
    <t>P.O Box 1108</t>
  </si>
  <si>
    <t>Boroko, NCD</t>
  </si>
  <si>
    <t>DOW INVOICE No.</t>
  </si>
  <si>
    <t>MT60-2022-011</t>
  </si>
  <si>
    <t xml:space="preserve">Purchase Order No: </t>
  </si>
  <si>
    <t>Client:</t>
  </si>
  <si>
    <t>HARRY MOROHO; ROPPE UYASSI</t>
  </si>
  <si>
    <t>File No:</t>
  </si>
  <si>
    <t>Address:</t>
  </si>
  <si>
    <t xml:space="preserve">P.O Box 5613 </t>
  </si>
  <si>
    <t>42-60-C01</t>
  </si>
  <si>
    <t>Boroko</t>
  </si>
  <si>
    <t>NCD</t>
  </si>
  <si>
    <t>LAB REPORT No:</t>
  </si>
  <si>
    <t>Phone:</t>
  </si>
  <si>
    <t>MB: 73331165</t>
  </si>
  <si>
    <t>Action Officer: Dennis Gim</t>
  </si>
  <si>
    <t>Attn:</t>
  </si>
  <si>
    <t>Mr. Roppe Uyassi</t>
  </si>
  <si>
    <t>Project:</t>
  </si>
  <si>
    <t>Jomigu Geotech</t>
  </si>
  <si>
    <t>Province: NCD</t>
  </si>
  <si>
    <t xml:space="preserve">ITEM </t>
  </si>
  <si>
    <t>TEST DESCRIPTION</t>
  </si>
  <si>
    <t>QTY</t>
  </si>
  <si>
    <t>UNIT</t>
  </si>
  <si>
    <t>RATE</t>
  </si>
  <si>
    <t>TOTAL (K)</t>
  </si>
  <si>
    <t>Point Load Test</t>
  </si>
  <si>
    <t>Discount</t>
  </si>
  <si>
    <t>Subtotal</t>
  </si>
  <si>
    <t>Approved by:  Leka H Bonoro</t>
  </si>
  <si>
    <t>Admin Cost</t>
  </si>
  <si>
    <t>Designation: Assistant Secretary (RCTS)</t>
  </si>
  <si>
    <t>Total</t>
  </si>
  <si>
    <t>Make all cheques payable to:    "WORKS SUSPENSE OUTSIDE OPERATION</t>
  </si>
  <si>
    <t xml:space="preserve">                                                         TRUST ACCOUNT" NO. 1000584737 BSP WAIGANI </t>
  </si>
  <si>
    <t>Total Balance</t>
  </si>
  <si>
    <t xml:space="preserve">P.O. Box 1108, Boroko, NCD </t>
  </si>
  <si>
    <t xml:space="preserve">Phone: 324 1376   Fax 324 1374 </t>
  </si>
  <si>
    <t>Attn: Assistant Secretary (RCT&amp;S)</t>
  </si>
  <si>
    <t xml:space="preserve">Please note: It is the Department's Policy that all invoices are paid within 30 days should payments not received </t>
  </si>
  <si>
    <t>within this period future services will be suspended</t>
  </si>
  <si>
    <t>DOW PROFORMA INVOICE No.</t>
  </si>
  <si>
    <t>MT60-2024-022</t>
  </si>
  <si>
    <t>The Senior Manager</t>
  </si>
  <si>
    <t>ISLANDS PETROLEUM LTD</t>
  </si>
  <si>
    <t>P.O Box 226</t>
  </si>
  <si>
    <t>Corner Wharf Road Blanch Street</t>
  </si>
  <si>
    <t>Rabaul, ENB</t>
  </si>
  <si>
    <t>MB: 70734511</t>
  </si>
  <si>
    <t>Ms. Elsie Vaburi</t>
  </si>
  <si>
    <t>ISLANDS PETROLEUM DEPOT,</t>
  </si>
  <si>
    <t>FIELD WORK</t>
  </si>
  <si>
    <t>Manhours</t>
  </si>
  <si>
    <t>hrs</t>
  </si>
  <si>
    <t>Dynamic Cone Penetrometer Test</t>
  </si>
  <si>
    <t>No.</t>
  </si>
  <si>
    <t>LABORATORY TESTING</t>
  </si>
  <si>
    <t>MC + AL + LS + PSD + STD + CBR</t>
  </si>
  <si>
    <t>ANALYSING AND REPORTING</t>
  </si>
  <si>
    <t xml:space="preserve">Reporting </t>
  </si>
  <si>
    <t>Total Cost</t>
  </si>
  <si>
    <t>Less T. Allowance</t>
  </si>
  <si>
    <t>Designation: Assistant Secretary (MS&amp;T)</t>
  </si>
  <si>
    <t>Final Total</t>
  </si>
  <si>
    <t>Final Balance</t>
  </si>
  <si>
    <t xml:space="preserve">                                                                                  BSB NO. 088-202</t>
  </si>
  <si>
    <t>Attn: Assistant Secretary (MS&amp;T)</t>
  </si>
  <si>
    <t>PRICE LIST</t>
  </si>
  <si>
    <t>TEST METHOD</t>
  </si>
  <si>
    <t>PRICE</t>
  </si>
  <si>
    <t>REMARKS</t>
  </si>
  <si>
    <t>PUBLIC</t>
  </si>
  <si>
    <t>PRIVATE</t>
  </si>
  <si>
    <t>Aggregate Tests - AS1141</t>
  </si>
  <si>
    <t>Bulk Density</t>
  </si>
  <si>
    <t>Particle Density &amp; Water Absorption-Fine</t>
  </si>
  <si>
    <t>Particle Density &amp; Water Absorption-Coarse</t>
  </si>
  <si>
    <t>Particle Size Distribution by Dry Seiveing</t>
  </si>
  <si>
    <r>
      <rPr>
        <sz val="10"/>
        <rFont val="Arial"/>
        <charset val="134"/>
      </rPr>
      <t>Materials Finer than 75</t>
    </r>
    <r>
      <rPr>
        <sz val="10"/>
        <rFont val="Calibri"/>
        <charset val="134"/>
      </rPr>
      <t>µm (washing)</t>
    </r>
  </si>
  <si>
    <t>Particle Shape by Proportional Calliper</t>
  </si>
  <si>
    <t>Flakiness Index</t>
  </si>
  <si>
    <t>Average Least Dimension (10mm&gt;)</t>
  </si>
  <si>
    <t>Average Least Dimension (5mm-7mm)</t>
  </si>
  <si>
    <t>Average Crushing Value - Two tests</t>
  </si>
  <si>
    <t>Wet/Dry Strength Variation</t>
  </si>
  <si>
    <t>Los Angeles Abrasion Value</t>
  </si>
  <si>
    <t>Soundness Loss (Sodium Sulphate Solution)</t>
  </si>
  <si>
    <t>Weak (Fariable) Particles</t>
  </si>
  <si>
    <t>Clay &amp; Fine Silt (Settling Method)</t>
  </si>
  <si>
    <t>Organice Impurities other than Sugar</t>
  </si>
  <si>
    <t>Fracture Faces</t>
  </si>
  <si>
    <t>Concrete Tests - AS1012</t>
  </si>
  <si>
    <t>Slump Test</t>
  </si>
  <si>
    <t>Mas per Unit Volume of Fresh Concrete</t>
  </si>
  <si>
    <t>Bleeding of Concrete</t>
  </si>
  <si>
    <t>Casting &amp; Curing of Concrete Samples</t>
  </si>
  <si>
    <t xml:space="preserve">Compressive Strenght of Concrete </t>
  </si>
  <si>
    <t>Indirect Tensile Strength</t>
  </si>
  <si>
    <t>Modulus of Rupture</t>
  </si>
  <si>
    <t>Mass per Unit Volume</t>
  </si>
  <si>
    <t>Concrete Tests - AS/NZ4456 / AS2733</t>
  </si>
  <si>
    <t>Transverse Strength</t>
  </si>
  <si>
    <t>Compressive Strength-CMU</t>
  </si>
  <si>
    <t>Moisture Content &amp; Total Absorption</t>
  </si>
  <si>
    <t>Initial Rate of Absorption</t>
  </si>
  <si>
    <t>Initial Rate of Absorption-Suction</t>
  </si>
  <si>
    <t>Breaking Load (Paver Blocks)</t>
  </si>
  <si>
    <t>Rock Test</t>
  </si>
  <si>
    <t>Soils Tests - AS1289</t>
  </si>
  <si>
    <t>Moisture Content Determination</t>
  </si>
  <si>
    <t>Atterberg Limits (LL, PL &amp; PI)</t>
  </si>
  <si>
    <t>Linear Shrinkage</t>
  </si>
  <si>
    <t>Soil Particle Density</t>
  </si>
  <si>
    <t>Particle Size Distribution-Wet Seive</t>
  </si>
  <si>
    <t>Particle Size Distribution-Hydrometer</t>
  </si>
  <si>
    <t>Cone Liquid Limit (LL, PL &amp; PI)</t>
  </si>
  <si>
    <t>Standard Compaction Test</t>
  </si>
  <si>
    <t>Modified Compaction Test</t>
  </si>
  <si>
    <t>CBR-Remoulded Specimen (4 Days Soak)</t>
  </si>
  <si>
    <t>CBR-Remoulded Specimen (Unsoak)</t>
  </si>
  <si>
    <t>CBR-Undisturbed Specimen (4 Days Soak)</t>
  </si>
  <si>
    <t>Triaxial Compression Tes - Multi-stage test</t>
  </si>
  <si>
    <t>Triaxial Compression Tes - Set of three Specimen</t>
  </si>
  <si>
    <t>pH Value-Electronic - Soil</t>
  </si>
  <si>
    <t>pH Value-Electronic - Groundwater</t>
  </si>
  <si>
    <t>pH Value-Colorimetric Method - Soil</t>
  </si>
  <si>
    <t>pH Value-Colorimetric Method - Groundwater</t>
  </si>
  <si>
    <t>Consolidation Test</t>
  </si>
  <si>
    <t>Soil Permeability Tes t- Falling Head</t>
  </si>
  <si>
    <t>Soil Permeability Test - Constant Head</t>
  </si>
  <si>
    <t>Unconfined Compressive Strenght</t>
  </si>
  <si>
    <t>Field Tests &amp; Sampling</t>
  </si>
  <si>
    <t>Dynamic Cone Penetrometer (DCP) Test - Pavement</t>
  </si>
  <si>
    <t>Dynamic Cone Penetrometer (DCP) Test - Foundation</t>
  </si>
  <si>
    <t>Sampling of Soil Sample</t>
  </si>
  <si>
    <t>Test Pit Excavation &amp; Logging</t>
  </si>
  <si>
    <t>Deflection Test - Benkleman Beam</t>
  </si>
  <si>
    <t xml:space="preserve">Field Density Test - Sand Replacement </t>
  </si>
  <si>
    <t>Field Density Test - Nuclear Gauge</t>
  </si>
  <si>
    <t>Schmidt Hammer-Rebound Test</t>
  </si>
  <si>
    <t>Plate Bearing Test</t>
  </si>
  <si>
    <t>Sampling of fresh concrete</t>
  </si>
  <si>
    <t>Slump 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</si>
</sst>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\K#,##0.00"/>
    <numFmt numFmtId="179" formatCode="_-* #,##0.00_-;\-* #,##0.00_-;_-* &quot;-&quot;??_-;_-@_-"/>
    <numFmt numFmtId="180" formatCode="&quot;$&quot;#,##0.00_);\(&quot;$&quot;#,##0.00\);;"/>
  </numFmts>
  <fonts count="36">
    <font>
      <sz val="10"/>
      <name val="Arial"/>
      <charset val="134"/>
    </font>
    <font>
      <b/>
      <sz val="16"/>
      <name val="Arial"/>
      <charset val="134"/>
    </font>
    <font>
      <b/>
      <sz val="14"/>
      <name val="Arial"/>
      <charset val="134"/>
    </font>
    <font>
      <b/>
      <sz val="12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2"/>
      <color rgb="FFFF0000"/>
      <name val="Arial"/>
      <charset val="134"/>
    </font>
    <font>
      <sz val="9"/>
      <name val="Arial"/>
      <charset val="134"/>
    </font>
    <font>
      <sz val="10"/>
      <name val="Times New Roman"/>
      <charset val="134"/>
    </font>
    <font>
      <i/>
      <sz val="9"/>
      <name val="Arial"/>
      <charset val="134"/>
    </font>
    <font>
      <u/>
      <sz val="10"/>
      <name val="Arial"/>
      <charset val="134"/>
    </font>
    <font>
      <b/>
      <u/>
      <sz val="10"/>
      <name val="Arial"/>
      <charset val="134"/>
    </font>
    <font>
      <b/>
      <sz val="8"/>
      <color rgb="FF0070C0"/>
      <name val="Arial"/>
      <charset val="134"/>
    </font>
    <font>
      <b/>
      <sz val="8"/>
      <name val="Arial"/>
      <charset val="134"/>
    </font>
    <font>
      <b/>
      <sz val="8"/>
      <color rgb="FFFF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8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29" applyNumberFormat="0" applyAlignment="0" applyProtection="0">
      <alignment vertical="center"/>
    </xf>
    <xf numFmtId="0" fontId="25" fillId="10" borderId="30" applyNumberFormat="0" applyAlignment="0" applyProtection="0">
      <alignment vertical="center"/>
    </xf>
    <xf numFmtId="0" fontId="26" fillId="10" borderId="29" applyNumberFormat="0" applyAlignment="0" applyProtection="0">
      <alignment vertical="center"/>
    </xf>
    <xf numFmtId="0" fontId="27" fillId="11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</cellStyleXfs>
  <cellXfs count="13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178" fontId="2" fillId="3" borderId="1" xfId="0" applyNumberFormat="1" applyFont="1" applyFill="1" applyBorder="1" applyAlignment="1">
      <alignment horizontal="center"/>
    </xf>
    <xf numFmtId="0" fontId="0" fillId="0" borderId="0" xfId="0" applyBorder="1"/>
    <xf numFmtId="178" fontId="2" fillId="3" borderId="1" xfId="0" applyNumberFormat="1" applyFont="1" applyFill="1" applyBorder="1"/>
    <xf numFmtId="0" fontId="3" fillId="0" borderId="1" xfId="0" applyFont="1" applyFill="1" applyBorder="1"/>
    <xf numFmtId="178" fontId="0" fillId="0" borderId="1" xfId="0" applyNumberFormat="1" applyFill="1" applyBorder="1" applyAlignment="1">
      <alignment horizontal="left"/>
    </xf>
    <xf numFmtId="0" fontId="0" fillId="0" borderId="1" xfId="0" applyFill="1" applyBorder="1"/>
    <xf numFmtId="0" fontId="3" fillId="0" borderId="0" xfId="0" applyFont="1" applyBorder="1"/>
    <xf numFmtId="178" fontId="4" fillId="0" borderId="0" xfId="0" applyNumberFormat="1" applyFont="1" applyBorder="1"/>
    <xf numFmtId="0" fontId="5" fillId="0" borderId="1" xfId="0" applyFont="1" applyFill="1" applyBorder="1"/>
    <xf numFmtId="178" fontId="0" fillId="0" borderId="0" xfId="0" applyNumberFormat="1" applyBorder="1" applyAlignment="1">
      <alignment horizontal="left"/>
    </xf>
    <xf numFmtId="0" fontId="5" fillId="0" borderId="0" xfId="0" applyFont="1" applyBorder="1"/>
    <xf numFmtId="178" fontId="5" fillId="0" borderId="1" xfId="0" applyNumberFormat="1" applyFont="1" applyFill="1" applyBorder="1" applyAlignment="1">
      <alignment horizontal="left"/>
    </xf>
    <xf numFmtId="178" fontId="3" fillId="0" borderId="1" xfId="0" applyNumberFormat="1" applyFont="1" applyFill="1" applyBorder="1" applyAlignment="1">
      <alignment horizontal="left"/>
    </xf>
    <xf numFmtId="0" fontId="6" fillId="0" borderId="0" xfId="0" applyFont="1" applyBorder="1"/>
    <xf numFmtId="178" fontId="4" fillId="0" borderId="1" xfId="0" applyNumberFormat="1" applyFont="1" applyFill="1" applyBorder="1"/>
    <xf numFmtId="0" fontId="7" fillId="0" borderId="0" xfId="0" applyFont="1"/>
    <xf numFmtId="0" fontId="0" fillId="0" borderId="0" xfId="0" applyAlignment="1">
      <alignment vertical="center"/>
    </xf>
    <xf numFmtId="0" fontId="0" fillId="0" borderId="2" xfId="0" applyBorder="1" applyAlignment="1">
      <alignment horizontal="left" indent="8"/>
    </xf>
    <xf numFmtId="0" fontId="0" fillId="0" borderId="3" xfId="0" applyBorder="1"/>
    <xf numFmtId="0" fontId="0" fillId="0" borderId="4" xfId="0" applyBorder="1"/>
    <xf numFmtId="0" fontId="8" fillId="0" borderId="0" xfId="0" applyFont="1"/>
    <xf numFmtId="0" fontId="9" fillId="0" borderId="5" xfId="0" applyFont="1" applyBorder="1" applyAlignment="1"/>
    <xf numFmtId="0" fontId="5" fillId="0" borderId="0" xfId="0" applyFont="1" applyBorder="1" applyAlignment="1"/>
    <xf numFmtId="0" fontId="7" fillId="0" borderId="0" xfId="0" applyFont="1" applyBorder="1"/>
    <xf numFmtId="0" fontId="7" fillId="0" borderId="6" xfId="0" applyFont="1" applyBorder="1"/>
    <xf numFmtId="0" fontId="0" fillId="0" borderId="5" xfId="0" applyBorder="1"/>
    <xf numFmtId="0" fontId="0" fillId="0" borderId="6" xfId="0" applyBorder="1"/>
    <xf numFmtId="0" fontId="4" fillId="0" borderId="5" xfId="0" applyFont="1" applyBorder="1"/>
    <xf numFmtId="0" fontId="5" fillId="0" borderId="5" xfId="0" applyFont="1" applyBorder="1"/>
    <xf numFmtId="0" fontId="4" fillId="0" borderId="0" xfId="0" applyFont="1" applyBorder="1"/>
    <xf numFmtId="58" fontId="0" fillId="0" borderId="6" xfId="0" applyNumberFormat="1" applyBorder="1" applyAlignment="1">
      <alignment horizontal="left"/>
    </xf>
    <xf numFmtId="58" fontId="0" fillId="0" borderId="0" xfId="0" applyNumberForma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0" fillId="0" borderId="5" xfId="0" applyFont="1" applyBorder="1"/>
    <xf numFmtId="0" fontId="10" fillId="0" borderId="0" xfId="0" applyFont="1" applyBorder="1"/>
    <xf numFmtId="0" fontId="4" fillId="0" borderId="2" xfId="0" applyFont="1" applyBorder="1"/>
    <xf numFmtId="0" fontId="5" fillId="0" borderId="0" xfId="0" applyFont="1"/>
    <xf numFmtId="0" fontId="5" fillId="0" borderId="0" xfId="0" applyFont="1" applyFill="1" applyBorder="1"/>
    <xf numFmtId="0" fontId="4" fillId="0" borderId="5" xfId="0" applyFont="1" applyFill="1" applyBorder="1"/>
    <xf numFmtId="0" fontId="0" fillId="0" borderId="5" xfId="0" applyFill="1" applyBorder="1"/>
    <xf numFmtId="0" fontId="4" fillId="0" borderId="0" xfId="0" applyFont="1" applyFill="1" applyBorder="1" applyAlignment="1">
      <alignment horizontal="left" vertical="center"/>
    </xf>
    <xf numFmtId="0" fontId="4" fillId="0" borderId="7" xfId="0" applyFont="1" applyBorder="1"/>
    <xf numFmtId="0" fontId="0" fillId="0" borderId="8" xfId="0" applyBorder="1"/>
    <xf numFmtId="0" fontId="5" fillId="0" borderId="5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11" fillId="0" borderId="11" xfId="0" applyFont="1" applyBorder="1" applyProtection="1">
      <protection locked="0"/>
    </xf>
    <xf numFmtId="0" fontId="0" fillId="0" borderId="12" xfId="0" applyBorder="1" applyProtection="1">
      <protection locked="0"/>
    </xf>
    <xf numFmtId="0" fontId="0" fillId="0" borderId="12" xfId="0" applyBorder="1"/>
    <xf numFmtId="0" fontId="0" fillId="4" borderId="13" xfId="0" applyFill="1" applyBorder="1"/>
    <xf numFmtId="0" fontId="5" fillId="0" borderId="5" xfId="0" applyFont="1" applyFill="1" applyBorder="1" applyAlignment="1">
      <alignment horizontal="center"/>
    </xf>
    <xf numFmtId="0" fontId="5" fillId="0" borderId="14" xfId="0" applyFont="1" applyFill="1" applyBorder="1" applyProtection="1">
      <protection locked="0"/>
    </xf>
    <xf numFmtId="0" fontId="0" fillId="0" borderId="15" xfId="0" applyFill="1" applyBorder="1" applyAlignment="1" applyProtection="1">
      <alignment horizontal="center"/>
      <protection locked="0"/>
    </xf>
    <xf numFmtId="0" fontId="5" fillId="0" borderId="15" xfId="0" applyFont="1" applyFill="1" applyBorder="1" applyAlignment="1">
      <alignment horizontal="center"/>
    </xf>
    <xf numFmtId="179" fontId="0" fillId="0" borderId="15" xfId="0" applyNumberFormat="1" applyFill="1" applyBorder="1"/>
    <xf numFmtId="179" fontId="0" fillId="4" borderId="6" xfId="0" applyNumberFormat="1" applyFill="1" applyBorder="1"/>
    <xf numFmtId="0" fontId="0" fillId="0" borderId="5" xfId="0" applyBorder="1" applyAlignment="1">
      <alignment horizontal="center" vertical="center"/>
    </xf>
    <xf numFmtId="0" fontId="5" fillId="0" borderId="14" xfId="0" applyFont="1" applyBorder="1" applyProtection="1"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  <xf numFmtId="179" fontId="0" fillId="0" borderId="15" xfId="0" applyNumberFormat="1" applyBorder="1"/>
    <xf numFmtId="0" fontId="4" fillId="0" borderId="5" xfId="0" applyFont="1" applyFill="1" applyBorder="1" applyAlignment="1">
      <alignment horizontal="center"/>
    </xf>
    <xf numFmtId="0" fontId="11" fillId="0" borderId="14" xfId="0" applyFont="1" applyFill="1" applyBorder="1" applyProtection="1">
      <protection locked="0"/>
    </xf>
    <xf numFmtId="0" fontId="5" fillId="0" borderId="15" xfId="0" applyFont="1" applyFill="1" applyBorder="1" applyAlignment="1" applyProtection="1">
      <alignment horizontal="center" vertical="center"/>
      <protection locked="0"/>
    </xf>
    <xf numFmtId="0" fontId="5" fillId="0" borderId="15" xfId="0" applyFont="1" applyFill="1" applyBorder="1" applyAlignment="1">
      <alignment horizontal="center" vertical="center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5" xfId="0" applyFill="1" applyBorder="1" applyAlignment="1" applyProtection="1">
      <alignment horizontal="center" vertical="center"/>
      <protection locked="0"/>
    </xf>
    <xf numFmtId="0" fontId="0" fillId="0" borderId="16" xfId="0" applyBorder="1" applyAlignment="1">
      <alignment horizontal="center" vertical="center"/>
    </xf>
    <xf numFmtId="0" fontId="5" fillId="0" borderId="17" xfId="0" applyFont="1" applyBorder="1" applyProtection="1"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5" fillId="0" borderId="17" xfId="0" applyFont="1" applyBorder="1" applyAlignment="1">
      <alignment horizontal="center" vertical="center"/>
    </xf>
    <xf numFmtId="179" fontId="0" fillId="0" borderId="17" xfId="0" applyNumberFormat="1" applyBorder="1"/>
    <xf numFmtId="179" fontId="0" fillId="4" borderId="18" xfId="0" applyNumberFormat="1" applyFill="1" applyBorder="1"/>
    <xf numFmtId="0" fontId="0" fillId="0" borderId="0" xfId="0" applyBorder="1" applyAlignment="1">
      <alignment horizontal="center" vertical="center"/>
    </xf>
    <xf numFmtId="179" fontId="5" fillId="0" borderId="19" xfId="0" applyNumberFormat="1" applyFont="1" applyBorder="1" applyAlignment="1">
      <alignment horizontal="right"/>
    </xf>
    <xf numFmtId="179" fontId="5" fillId="0" borderId="20" xfId="0" applyNumberFormat="1" applyFont="1" applyBorder="1" applyAlignment="1">
      <alignment horizontal="right"/>
    </xf>
    <xf numFmtId="179" fontId="4" fillId="4" borderId="21" xfId="0" applyNumberFormat="1" applyFont="1" applyFill="1" applyBorder="1"/>
    <xf numFmtId="0" fontId="0" fillId="0" borderId="5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43" fontId="0" fillId="0" borderId="0" xfId="0" applyNumberForma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179" fontId="4" fillId="5" borderId="21" xfId="0" applyNumberFormat="1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9" fontId="0" fillId="0" borderId="0" xfId="0" applyNumberForma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179" fontId="4" fillId="5" borderId="10" xfId="0" applyNumberFormat="1" applyFont="1" applyFill="1" applyBorder="1" applyAlignment="1">
      <alignment vertical="center"/>
    </xf>
    <xf numFmtId="0" fontId="12" fillId="6" borderId="5" xfId="0" applyFont="1" applyFill="1" applyBorder="1" applyAlignment="1"/>
    <xf numFmtId="0" fontId="0" fillId="6" borderId="0" xfId="0" applyFill="1" applyBorder="1"/>
    <xf numFmtId="43" fontId="0" fillId="6" borderId="0" xfId="0" applyNumberFormat="1" applyFill="1" applyBorder="1" applyAlignment="1">
      <alignment horizontal="right" vertical="center"/>
    </xf>
    <xf numFmtId="0" fontId="5" fillId="4" borderId="12" xfId="0" applyFont="1" applyFill="1" applyBorder="1" applyAlignment="1">
      <alignment horizontal="center" vertical="center"/>
    </xf>
    <xf numFmtId="179" fontId="3" fillId="7" borderId="22" xfId="0" applyNumberFormat="1" applyFont="1" applyFill="1" applyBorder="1" applyAlignment="1">
      <alignment horizontal="center" vertical="center"/>
    </xf>
    <xf numFmtId="0" fontId="0" fillId="6" borderId="0" xfId="0" applyFill="1" applyBorder="1" applyAlignment="1">
      <alignment horizontal="left" vertical="center"/>
    </xf>
    <xf numFmtId="0" fontId="5" fillId="4" borderId="17" xfId="0" applyFont="1" applyFill="1" applyBorder="1" applyAlignment="1">
      <alignment horizontal="center" vertical="center"/>
    </xf>
    <xf numFmtId="179" fontId="3" fillId="7" borderId="18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179" fontId="3" fillId="0" borderId="6" xfId="0" applyNumberFormat="1" applyFont="1" applyFill="1" applyBorder="1" applyAlignment="1">
      <alignment vertical="center"/>
    </xf>
    <xf numFmtId="0" fontId="13" fillId="0" borderId="5" xfId="0" applyFont="1" applyBorder="1" applyAlignment="1"/>
    <xf numFmtId="0" fontId="4" fillId="0" borderId="0" xfId="0" applyFont="1" applyBorder="1" applyAlignment="1">
      <alignment horizontal="right" vertical="center"/>
    </xf>
    <xf numFmtId="180" fontId="4" fillId="0" borderId="6" xfId="0" applyNumberFormat="1" applyFont="1" applyFill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0" fillId="0" borderId="0" xfId="0" applyBorder="1" applyAlignment="1"/>
    <xf numFmtId="180" fontId="0" fillId="0" borderId="6" xfId="0" applyNumberFormat="1" applyBorder="1" applyAlignment="1">
      <alignment vertical="center"/>
    </xf>
    <xf numFmtId="0" fontId="13" fillId="0" borderId="5" xfId="0" applyFont="1" applyBorder="1"/>
    <xf numFmtId="0" fontId="0" fillId="0" borderId="6" xfId="0" applyBorder="1" applyAlignment="1"/>
    <xf numFmtId="0" fontId="14" fillId="0" borderId="5" xfId="0" applyFont="1" applyBorder="1"/>
    <xf numFmtId="0" fontId="14" fillId="0" borderId="7" xfId="0" applyFont="1" applyBorder="1"/>
    <xf numFmtId="0" fontId="4" fillId="0" borderId="23" xfId="0" applyFont="1" applyBorder="1"/>
    <xf numFmtId="0" fontId="0" fillId="0" borderId="23" xfId="0" applyBorder="1"/>
    <xf numFmtId="0" fontId="4" fillId="0" borderId="0" xfId="0" applyFont="1" applyFill="1" applyBorder="1"/>
    <xf numFmtId="0" fontId="0" fillId="0" borderId="5" xfId="0" applyBorder="1" applyAlignment="1">
      <alignment horizontal="center"/>
    </xf>
    <xf numFmtId="0" fontId="10" fillId="0" borderId="14" xfId="0" applyFont="1" applyBorder="1" applyProtection="1">
      <protection locked="0"/>
    </xf>
    <xf numFmtId="0" fontId="0" fillId="0" borderId="15" xfId="0" applyBorder="1" applyAlignment="1" applyProtection="1">
      <alignment horizontal="center"/>
      <protection locked="0"/>
    </xf>
    <xf numFmtId="0" fontId="5" fillId="0" borderId="15" xfId="0" applyFont="1" applyBorder="1" applyAlignment="1">
      <alignment horizontal="center"/>
    </xf>
    <xf numFmtId="9" fontId="5" fillId="0" borderId="0" xfId="0" applyNumberFormat="1" applyFont="1" applyBorder="1" applyAlignment="1">
      <alignment horizontal="right"/>
    </xf>
    <xf numFmtId="179" fontId="5" fillId="0" borderId="0" xfId="0" applyNumberFormat="1" applyFont="1" applyBorder="1" applyAlignment="1"/>
    <xf numFmtId="179" fontId="5" fillId="4" borderId="21" xfId="0" applyNumberFormat="1" applyFont="1" applyFill="1" applyBorder="1"/>
    <xf numFmtId="0" fontId="0" fillId="4" borderId="11" xfId="0" applyFill="1" applyBorder="1" applyAlignment="1">
      <alignment horizontal="right" vertical="center"/>
    </xf>
    <xf numFmtId="10" fontId="4" fillId="4" borderId="13" xfId="0" applyNumberFormat="1" applyFont="1" applyFill="1" applyBorder="1" applyAlignment="1">
      <alignment vertical="center"/>
    </xf>
    <xf numFmtId="0" fontId="5" fillId="4" borderId="24" xfId="0" applyFont="1" applyFill="1" applyBorder="1" applyAlignment="1">
      <alignment horizontal="left" vertical="center"/>
    </xf>
    <xf numFmtId="179" fontId="4" fillId="4" borderId="25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FFFFCC"/>
      <color rgb="00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390525</xdr:colOff>
      <xdr:row>0</xdr:row>
      <xdr:rowOff>28575</xdr:rowOff>
    </xdr:from>
    <xdr:to>
      <xdr:col>5</xdr:col>
      <xdr:colOff>200025</xdr:colOff>
      <xdr:row>4</xdr:row>
      <xdr:rowOff>38101</xdr:rowOff>
    </xdr:to>
    <xdr:sp>
      <xdr:nvSpPr>
        <xdr:cNvPr id="2" name="Text Box 3"/>
        <xdr:cNvSpPr txBox="1">
          <a:spLocks noChangeArrowheads="1"/>
        </xdr:cNvSpPr>
      </xdr:nvSpPr>
      <xdr:spPr>
        <a:xfrm>
          <a:off x="962025" y="28575"/>
          <a:ext cx="3933825" cy="657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DEPARTMENT OF WORKS AND HIGHWAYS</a:t>
          </a:r>
          <a:endParaRPr lang="en-US" sz="10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MATERIALS SCIENCE &amp;</a:t>
          </a:r>
          <a:r>
            <a:rPr lang="en-US" sz="1200" b="1" i="0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TECHNOLOGY BRANCH</a:t>
          </a:r>
          <a:endParaRPr lang="en-US" sz="10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 </a:t>
          </a:r>
          <a:endParaRPr lang="en-US" sz="10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 editAs="oneCell">
    <xdr:from>
      <xdr:col>5</xdr:col>
      <xdr:colOff>361950</xdr:colOff>
      <xdr:row>0</xdr:row>
      <xdr:rowOff>57150</xdr:rowOff>
    </xdr:from>
    <xdr:to>
      <xdr:col>5</xdr:col>
      <xdr:colOff>970915</xdr:colOff>
      <xdr:row>4</xdr:row>
      <xdr:rowOff>38735</xdr:rowOff>
    </xdr:to>
    <xdr:pic>
      <xdr:nvPicPr>
        <xdr:cNvPr id="3" name="Image 2" descr="DoW-Logo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57775" y="57150"/>
          <a:ext cx="608965" cy="6292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38100</xdr:rowOff>
    </xdr:from>
    <xdr:to>
      <xdr:col>1</xdr:col>
      <xdr:colOff>400050</xdr:colOff>
      <xdr:row>4</xdr:row>
      <xdr:rowOff>76199</xdr:rowOff>
    </xdr:to>
    <xdr:pic>
      <xdr:nvPicPr>
        <xdr:cNvPr id="4" name="Image 5" descr="PNG Logo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38100"/>
          <a:ext cx="942975" cy="6851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2047876</xdr:colOff>
      <xdr:row>34</xdr:row>
      <xdr:rowOff>57149</xdr:rowOff>
    </xdr:from>
    <xdr:to>
      <xdr:col>2</xdr:col>
      <xdr:colOff>495301</xdr:colOff>
      <xdr:row>36</xdr:row>
      <xdr:rowOff>28574</xdr:rowOff>
    </xdr:to>
    <xdr:sp>
      <xdr:nvSpPr>
        <xdr:cNvPr id="5" name="TextBox 4"/>
        <xdr:cNvSpPr txBox="1"/>
      </xdr:nvSpPr>
      <xdr:spPr>
        <a:xfrm>
          <a:off x="2619375" y="6958330"/>
          <a:ext cx="866775" cy="3886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AU" sz="1100"/>
        </a:p>
      </xdr:txBody>
    </xdr:sp>
    <xdr:clientData/>
  </xdr:twoCellAnchor>
  <xdr:twoCellAnchor>
    <xdr:from>
      <xdr:col>1</xdr:col>
      <xdr:colOff>2047876</xdr:colOff>
      <xdr:row>35</xdr:row>
      <xdr:rowOff>57149</xdr:rowOff>
    </xdr:from>
    <xdr:to>
      <xdr:col>2</xdr:col>
      <xdr:colOff>495301</xdr:colOff>
      <xdr:row>37</xdr:row>
      <xdr:rowOff>28574</xdr:rowOff>
    </xdr:to>
    <xdr:sp>
      <xdr:nvSpPr>
        <xdr:cNvPr id="6" name="TextBox 5"/>
        <xdr:cNvSpPr txBox="1"/>
      </xdr:nvSpPr>
      <xdr:spPr>
        <a:xfrm>
          <a:off x="2619375" y="7213600"/>
          <a:ext cx="866775" cy="3886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A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28575</xdr:colOff>
      <xdr:row>0</xdr:row>
      <xdr:rowOff>38100</xdr:rowOff>
    </xdr:from>
    <xdr:to>
      <xdr:col>1</xdr:col>
      <xdr:colOff>400050</xdr:colOff>
      <xdr:row>4</xdr:row>
      <xdr:rowOff>76199</xdr:rowOff>
    </xdr:to>
    <xdr:pic>
      <xdr:nvPicPr>
        <xdr:cNvPr id="5" name="Image 5" descr="PNG Logo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38100"/>
          <a:ext cx="942975" cy="6851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2047876</xdr:colOff>
      <xdr:row>35</xdr:row>
      <xdr:rowOff>57149</xdr:rowOff>
    </xdr:from>
    <xdr:to>
      <xdr:col>2</xdr:col>
      <xdr:colOff>495301</xdr:colOff>
      <xdr:row>37</xdr:row>
      <xdr:rowOff>28574</xdr:rowOff>
    </xdr:to>
    <xdr:sp>
      <xdr:nvSpPr>
        <xdr:cNvPr id="6" name="TextBox 5"/>
        <xdr:cNvSpPr txBox="1"/>
      </xdr:nvSpPr>
      <xdr:spPr>
        <a:xfrm>
          <a:off x="2619375" y="7232650"/>
          <a:ext cx="866775" cy="3886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AU" sz="1100"/>
        </a:p>
      </xdr:txBody>
    </xdr:sp>
    <xdr:clientData/>
  </xdr:twoCellAnchor>
  <xdr:twoCellAnchor editAs="oneCell">
    <xdr:from>
      <xdr:col>5</xdr:col>
      <xdr:colOff>371475</xdr:colOff>
      <xdr:row>0</xdr:row>
      <xdr:rowOff>57150</xdr:rowOff>
    </xdr:from>
    <xdr:to>
      <xdr:col>5</xdr:col>
      <xdr:colOff>980440</xdr:colOff>
      <xdr:row>4</xdr:row>
      <xdr:rowOff>17851</xdr:rowOff>
    </xdr:to>
    <xdr:pic>
      <xdr:nvPicPr>
        <xdr:cNvPr id="7" name="Image 2" descr="DoW-Logo"/>
        <xdr:cNvPicPr/>
      </xdr:nvPicPr>
      <xdr:blipFill>
        <a:blip r:embed="rId2" cstate="print"/>
        <a:stretch>
          <a:fillRect/>
        </a:stretch>
      </xdr:blipFill>
      <xdr:spPr>
        <a:xfrm>
          <a:off x="5200650" y="57150"/>
          <a:ext cx="608965" cy="6083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390525</xdr:colOff>
      <xdr:row>0</xdr:row>
      <xdr:rowOff>95250</xdr:rowOff>
    </xdr:from>
    <xdr:to>
      <xdr:col>5</xdr:col>
      <xdr:colOff>200025</xdr:colOff>
      <xdr:row>4</xdr:row>
      <xdr:rowOff>104776</xdr:rowOff>
    </xdr:to>
    <xdr:sp>
      <xdr:nvSpPr>
        <xdr:cNvPr id="8" name="Text Box 3"/>
        <xdr:cNvSpPr txBox="1">
          <a:spLocks noChangeArrowheads="1"/>
        </xdr:cNvSpPr>
      </xdr:nvSpPr>
      <xdr:spPr>
        <a:xfrm>
          <a:off x="962025" y="95250"/>
          <a:ext cx="4067175" cy="657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DEPARTMENT OF WORKS &amp; HIGHWAYS</a:t>
          </a:r>
          <a:endParaRPr lang="en-US" sz="10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MATERIAL</a:t>
          </a:r>
          <a:r>
            <a:rPr lang="en-US" sz="1200" b="1" i="0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SCIENCE &amp; </a:t>
          </a:r>
          <a:r>
            <a:rPr lang="en-US" sz="1200" b="1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TECHNOLOGY</a:t>
          </a:r>
          <a:r>
            <a:rPr lang="en-US" sz="1200" b="1" i="0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  BRANCH</a:t>
          </a:r>
          <a:endParaRPr lang="en-US" sz="10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 </a:t>
          </a:r>
          <a:endParaRPr lang="en-US" sz="10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showGridLines="0" view="pageLayout" zoomScaleNormal="100" workbookViewId="0">
      <selection activeCell="G28" sqref="G28"/>
    </sheetView>
  </sheetViews>
  <sheetFormatPr defaultColWidth="9" defaultRowHeight="12.75"/>
  <cols>
    <col min="1" max="1" width="8.57142857142857" customWidth="1"/>
    <col min="2" max="2" width="37.8571428571429" customWidth="1"/>
    <col min="3" max="3" width="5.85714285714286" customWidth="1"/>
    <col min="4" max="4" width="6.42857142857143" customWidth="1"/>
    <col min="5" max="5" width="11.7142857142857" customWidth="1"/>
    <col min="6" max="6" width="18.4285714285714" customWidth="1"/>
  </cols>
  <sheetData>
    <row r="1" spans="1:9">
      <c r="A1" s="21"/>
      <c r="B1" s="22"/>
      <c r="C1" s="22"/>
      <c r="D1" s="22"/>
      <c r="E1" s="22"/>
      <c r="F1" s="23"/>
      <c r="I1" s="24" t="s">
        <v>0</v>
      </c>
    </row>
    <row r="2" s="19" customFormat="1" spans="1:9">
      <c r="A2" s="25"/>
      <c r="B2" s="26"/>
      <c r="C2" s="26"/>
      <c r="D2" s="26"/>
      <c r="E2" s="27"/>
      <c r="F2" s="28"/>
    </row>
    <row r="3" spans="1:9">
      <c r="A3" s="29"/>
      <c r="B3" s="5"/>
      <c r="C3" s="5"/>
      <c r="D3" s="5"/>
      <c r="E3" s="5"/>
      <c r="F3" s="30"/>
    </row>
    <row r="4" spans="1:9">
      <c r="A4" s="29"/>
      <c r="B4" s="5"/>
      <c r="C4" s="5"/>
      <c r="D4" s="5"/>
      <c r="E4" s="5"/>
      <c r="F4" s="30"/>
    </row>
    <row r="5" spans="1:9">
      <c r="A5" s="29"/>
      <c r="B5" s="5"/>
      <c r="C5" s="5"/>
      <c r="D5" s="5"/>
      <c r="E5" s="5"/>
      <c r="F5" s="30"/>
    </row>
    <row r="6" spans="1:9">
      <c r="A6" s="31" t="s">
        <v>1</v>
      </c>
      <c r="B6" s="5"/>
      <c r="C6" s="5"/>
      <c r="D6" s="5"/>
      <c r="E6" s="5"/>
      <c r="F6" s="30"/>
    </row>
    <row r="7" spans="1:9">
      <c r="A7" s="32" t="s">
        <v>2</v>
      </c>
      <c r="B7" s="5"/>
      <c r="C7" s="5"/>
      <c r="D7" s="5"/>
      <c r="E7" s="33" t="s">
        <v>3</v>
      </c>
      <c r="F7" s="34">
        <f ca="1">NOW()</f>
        <v>46117.9473842593</v>
      </c>
    </row>
    <row r="8" spans="1:9">
      <c r="A8" s="32" t="s">
        <v>4</v>
      </c>
      <c r="B8" s="5"/>
      <c r="C8" s="5"/>
      <c r="D8" s="5"/>
      <c r="E8" s="35"/>
      <c r="F8" s="30"/>
    </row>
    <row r="9" spans="1:9">
      <c r="A9" s="32" t="s">
        <v>5</v>
      </c>
      <c r="B9" s="5"/>
      <c r="C9" s="5"/>
      <c r="D9" s="5"/>
      <c r="E9" s="36" t="s">
        <v>6</v>
      </c>
      <c r="F9" s="30"/>
    </row>
    <row r="10" spans="1:9">
      <c r="A10" s="32"/>
      <c r="B10" s="5"/>
      <c r="C10" s="5"/>
      <c r="D10" s="5"/>
      <c r="E10" s="14" t="s">
        <v>7</v>
      </c>
      <c r="F10" s="30"/>
    </row>
    <row r="11" spans="1:9">
      <c r="A11" s="37"/>
      <c r="B11" s="38"/>
      <c r="C11" s="5"/>
      <c r="D11" s="5"/>
      <c r="E11" s="33" t="s">
        <v>8</v>
      </c>
      <c r="F11" s="30"/>
    </row>
    <row r="12" spans="1:9">
      <c r="A12" s="29"/>
      <c r="B12" s="33"/>
      <c r="C12" s="5"/>
      <c r="D12" s="5"/>
      <c r="E12" s="5"/>
      <c r="F12" s="30"/>
    </row>
    <row r="13" spans="1:9">
      <c r="A13" s="32" t="s">
        <v>9</v>
      </c>
      <c r="B13" s="33" t="s">
        <v>10</v>
      </c>
      <c r="C13" s="5"/>
      <c r="D13" s="5"/>
      <c r="E13" s="33" t="s">
        <v>11</v>
      </c>
      <c r="F13" s="30"/>
    </row>
    <row r="14" spans="1:9">
      <c r="A14" s="32" t="s">
        <v>12</v>
      </c>
      <c r="B14" s="33" t="s">
        <v>13</v>
      </c>
      <c r="C14" s="5"/>
      <c r="D14" s="5"/>
      <c r="E14" s="14" t="s">
        <v>14</v>
      </c>
      <c r="F14" s="30"/>
    </row>
    <row r="15" spans="1:9">
      <c r="A15" s="29"/>
      <c r="B15" s="119" t="s">
        <v>15</v>
      </c>
      <c r="C15" s="5"/>
      <c r="D15" s="5"/>
      <c r="E15" s="5"/>
      <c r="F15" s="30"/>
    </row>
    <row r="16" spans="1:9">
      <c r="A16" s="29"/>
      <c r="B16" s="119" t="s">
        <v>16</v>
      </c>
      <c r="C16" s="5"/>
      <c r="D16" s="5"/>
      <c r="E16" s="119" t="s">
        <v>17</v>
      </c>
      <c r="F16" s="30"/>
    </row>
    <row r="17" spans="1:8">
      <c r="A17" s="29"/>
      <c r="B17" s="5"/>
      <c r="C17" s="5"/>
      <c r="D17" s="5"/>
      <c r="E17" s="5"/>
      <c r="F17" s="30"/>
    </row>
    <row r="18" spans="1:8">
      <c r="A18" s="32" t="s">
        <v>18</v>
      </c>
      <c r="B18" s="119" t="s">
        <v>19</v>
      </c>
      <c r="C18" s="5"/>
      <c r="D18" s="5"/>
      <c r="E18" s="33" t="s">
        <v>20</v>
      </c>
      <c r="F18" s="30"/>
    </row>
    <row r="19" s="20" customFormat="1" ht="18" customHeight="1" spans="1:8">
      <c r="A19" s="47" t="s">
        <v>21</v>
      </c>
      <c r="B19" s="48" t="s">
        <v>22</v>
      </c>
      <c r="C19" s="5"/>
      <c r="D19" s="5"/>
      <c r="E19" s="49"/>
      <c r="F19" s="30"/>
      <c r="G19"/>
      <c r="H19"/>
    </row>
    <row r="20" s="20" customFormat="1" ht="18" customHeight="1" spans="1:8">
      <c r="A20" s="47" t="s">
        <v>23</v>
      </c>
      <c r="B20" s="50" t="s">
        <v>24</v>
      </c>
      <c r="C20" s="49"/>
      <c r="D20" s="49"/>
      <c r="E20" s="50" t="s">
        <v>25</v>
      </c>
      <c r="F20" s="52"/>
      <c r="G20"/>
      <c r="H20"/>
    </row>
    <row r="21" s="20" customFormat="1" ht="16.5" customHeight="1" spans="1:8">
      <c r="A21" s="51"/>
      <c r="B21" s="49"/>
      <c r="C21" s="49"/>
      <c r="D21" s="49"/>
      <c r="E21" s="49"/>
      <c r="F21" s="52"/>
      <c r="G21"/>
      <c r="H21"/>
    </row>
    <row r="22" s="20" customFormat="1" ht="20.1" customHeight="1" spans="1:8">
      <c r="A22" s="53" t="s">
        <v>26</v>
      </c>
      <c r="B22" s="54" t="s">
        <v>27</v>
      </c>
      <c r="C22" s="55" t="s">
        <v>28</v>
      </c>
      <c r="D22" s="55" t="s">
        <v>29</v>
      </c>
      <c r="E22" s="54" t="s">
        <v>30</v>
      </c>
      <c r="F22" s="56" t="s">
        <v>31</v>
      </c>
      <c r="G22"/>
      <c r="H22"/>
    </row>
    <row r="23" s="20" customFormat="1" ht="20.1" customHeight="1" spans="1:8">
      <c r="A23" s="29"/>
      <c r="B23" s="57"/>
      <c r="C23" s="58"/>
      <c r="D23" s="59"/>
      <c r="E23" s="59"/>
      <c r="F23" s="60"/>
      <c r="G23"/>
      <c r="H23"/>
    </row>
    <row r="24" s="20" customFormat="1" ht="20.1" customHeight="1" spans="1:8">
      <c r="A24" s="120"/>
      <c r="B24" s="121"/>
      <c r="C24" s="122"/>
      <c r="D24" s="123"/>
      <c r="E24" s="71"/>
      <c r="F24" s="66"/>
      <c r="G24"/>
      <c r="H24"/>
    </row>
    <row r="25" s="20" customFormat="1" ht="20.1" customHeight="1" spans="1:8">
      <c r="A25" s="67">
        <f>IF(B25&gt;0,1," ")</f>
        <v>1</v>
      </c>
      <c r="B25" s="68" t="s">
        <v>32</v>
      </c>
      <c r="C25" s="69">
        <v>5</v>
      </c>
      <c r="D25" s="71" t="str">
        <f t="shared" ref="D25:D34" si="0">IFERROR((VLOOKUP(B25,TESTFEES,2,FALSE)),0)</f>
        <v>No.</v>
      </c>
      <c r="E25" s="71">
        <f t="shared" ref="E25:E34" si="1">IFERROR((VLOOKUP(B25,PUBRATE,3,FALSE)),0)</f>
        <v>65</v>
      </c>
      <c r="F25" s="66">
        <f t="shared" ref="F25:F34" si="2">SUM((E25*C25))</f>
        <v>325</v>
      </c>
    </row>
    <row r="26" s="20" customFormat="1" ht="20.1" customHeight="1" spans="1:8">
      <c r="A26" s="67" t="str">
        <f t="shared" ref="A26:A34" si="3">IF(B26&gt;0,1+A25," ")</f>
        <v> </v>
      </c>
      <c r="B26" s="68"/>
      <c r="C26" s="69"/>
      <c r="D26" s="71">
        <f t="shared" si="0"/>
        <v>0</v>
      </c>
      <c r="E26" s="71">
        <f t="shared" si="1"/>
        <v>0</v>
      </c>
      <c r="F26" s="66">
        <f t="shared" si="2"/>
        <v>0</v>
      </c>
    </row>
    <row r="27" s="20" customFormat="1" ht="20.1" customHeight="1" spans="1:8">
      <c r="A27" s="67" t="str">
        <f t="shared" si="3"/>
        <v> </v>
      </c>
      <c r="B27" s="68"/>
      <c r="C27" s="69"/>
      <c r="D27" s="71">
        <f t="shared" si="0"/>
        <v>0</v>
      </c>
      <c r="E27" s="71">
        <f t="shared" si="1"/>
        <v>0</v>
      </c>
      <c r="F27" s="66">
        <f t="shared" si="2"/>
        <v>0</v>
      </c>
    </row>
    <row r="28" s="20" customFormat="1" ht="20.1" customHeight="1" spans="1:8">
      <c r="A28" s="67"/>
      <c r="B28" s="68"/>
      <c r="C28" s="69"/>
      <c r="D28" s="71">
        <f t="shared" si="0"/>
        <v>0</v>
      </c>
      <c r="E28" s="71">
        <f t="shared" si="1"/>
        <v>0</v>
      </c>
      <c r="F28" s="66">
        <f t="shared" si="2"/>
        <v>0</v>
      </c>
    </row>
    <row r="29" s="20" customFormat="1" ht="20.25" customHeight="1" spans="1:8">
      <c r="A29" s="67" t="str">
        <f>IF(B29&gt;0,1+A27," ")</f>
        <v> </v>
      </c>
      <c r="B29" s="68"/>
      <c r="C29" s="69"/>
      <c r="D29" s="71">
        <f t="shared" si="0"/>
        <v>0</v>
      </c>
      <c r="E29" s="71">
        <f t="shared" si="1"/>
        <v>0</v>
      </c>
      <c r="F29" s="66">
        <f t="shared" si="2"/>
        <v>0</v>
      </c>
    </row>
    <row r="30" s="20" customFormat="1" ht="20.1" customHeight="1" spans="1:8">
      <c r="A30" s="67" t="str">
        <f t="shared" si="3"/>
        <v> </v>
      </c>
      <c r="B30" s="68"/>
      <c r="C30" s="69"/>
      <c r="D30" s="71">
        <f t="shared" si="0"/>
        <v>0</v>
      </c>
      <c r="E30" s="71">
        <f t="shared" si="1"/>
        <v>0</v>
      </c>
      <c r="F30" s="66">
        <f t="shared" si="2"/>
        <v>0</v>
      </c>
    </row>
    <row r="31" s="20" customFormat="1" ht="20.1" customHeight="1" spans="1:8">
      <c r="A31" s="67" t="str">
        <f t="shared" si="3"/>
        <v> </v>
      </c>
      <c r="B31" s="68"/>
      <c r="C31" s="69"/>
      <c r="D31" s="71">
        <f t="shared" si="0"/>
        <v>0</v>
      </c>
      <c r="E31" s="71">
        <f t="shared" si="1"/>
        <v>0</v>
      </c>
      <c r="F31" s="66">
        <f t="shared" si="2"/>
        <v>0</v>
      </c>
    </row>
    <row r="32" s="20" customFormat="1" ht="20.1" customHeight="1" spans="1:8">
      <c r="A32" s="67" t="str">
        <f t="shared" si="3"/>
        <v> </v>
      </c>
      <c r="B32" s="68"/>
      <c r="C32" s="76"/>
      <c r="D32" s="71">
        <f t="shared" si="0"/>
        <v>0</v>
      </c>
      <c r="E32" s="71">
        <f t="shared" si="1"/>
        <v>0</v>
      </c>
      <c r="F32" s="66">
        <f t="shared" si="2"/>
        <v>0</v>
      </c>
    </row>
    <row r="33" s="20" customFormat="1" ht="20.1" customHeight="1" spans="1:8">
      <c r="A33" s="67" t="str">
        <f t="shared" si="3"/>
        <v> </v>
      </c>
      <c r="B33" s="68"/>
      <c r="C33" s="76"/>
      <c r="D33" s="71">
        <f t="shared" si="0"/>
        <v>0</v>
      </c>
      <c r="E33" s="71">
        <f t="shared" si="1"/>
        <v>0</v>
      </c>
      <c r="F33" s="66">
        <f t="shared" si="2"/>
        <v>0</v>
      </c>
    </row>
    <row r="34" s="20" customFormat="1" ht="20.1" customHeight="1" spans="1:8">
      <c r="A34" s="78" t="str">
        <f t="shared" si="3"/>
        <v> </v>
      </c>
      <c r="B34" s="79"/>
      <c r="C34" s="80"/>
      <c r="D34" s="82">
        <f t="shared" si="0"/>
        <v>0</v>
      </c>
      <c r="E34" s="82">
        <f t="shared" si="1"/>
        <v>0</v>
      </c>
      <c r="F34" s="83">
        <f t="shared" si="2"/>
        <v>0</v>
      </c>
    </row>
    <row r="35" s="20" customFormat="1" ht="20.1" customHeight="1" spans="1:8">
      <c r="A35" s="67"/>
      <c r="B35" s="14"/>
      <c r="C35" s="84"/>
      <c r="D35" s="124"/>
      <c r="E35" s="125" t="s">
        <v>33</v>
      </c>
      <c r="F35" s="126">
        <f>(D35*SUM(F23:F34))</f>
        <v>0</v>
      </c>
    </row>
    <row r="36" s="20" customFormat="1" spans="1:8">
      <c r="A36" s="88"/>
      <c r="B36" s="89"/>
      <c r="C36" s="90"/>
      <c r="D36" s="90"/>
      <c r="E36" s="49" t="s">
        <v>34</v>
      </c>
      <c r="F36" s="92">
        <f>SUM(F24:F34)-F35</f>
        <v>325</v>
      </c>
    </row>
    <row r="37" s="20" customFormat="1" ht="20.1" customHeight="1" spans="1:8">
      <c r="A37" s="51"/>
      <c r="B37" s="93" t="s">
        <v>35</v>
      </c>
      <c r="C37" s="90"/>
      <c r="D37" s="94">
        <v>0.03</v>
      </c>
      <c r="E37" s="93" t="s">
        <v>36</v>
      </c>
      <c r="F37" s="92">
        <f>SUM((D37*F36))</f>
        <v>9.75</v>
      </c>
    </row>
    <row r="38" spans="1:8">
      <c r="A38" s="88"/>
      <c r="B38" s="93" t="s">
        <v>37</v>
      </c>
      <c r="C38" s="90"/>
      <c r="D38" s="90"/>
      <c r="E38" s="95" t="s">
        <v>38</v>
      </c>
      <c r="F38" s="96">
        <f>SUM(F36:F37)</f>
        <v>334.75</v>
      </c>
      <c r="G38" s="20"/>
      <c r="H38" s="20"/>
    </row>
    <row r="39" spans="1:8">
      <c r="A39" s="97" t="s">
        <v>39</v>
      </c>
      <c r="B39" s="98"/>
      <c r="C39" s="99"/>
      <c r="D39" s="99"/>
      <c r="E39" s="127"/>
      <c r="F39" s="128"/>
      <c r="G39" s="20"/>
      <c r="H39" s="20"/>
    </row>
    <row r="40" spans="1:8">
      <c r="A40" s="97" t="s">
        <v>40</v>
      </c>
      <c r="B40" s="102"/>
      <c r="C40" s="99"/>
      <c r="D40" s="99"/>
      <c r="E40" s="129" t="s">
        <v>41</v>
      </c>
      <c r="F40" s="130">
        <f>SUM(F38)</f>
        <v>334.75</v>
      </c>
      <c r="G40" s="20"/>
      <c r="H40" s="20"/>
    </row>
    <row r="41" spans="1:8">
      <c r="A41" s="107" t="s">
        <v>42</v>
      </c>
      <c r="B41" s="89"/>
      <c r="C41" s="90"/>
      <c r="D41" s="90"/>
      <c r="E41" s="108"/>
      <c r="F41" s="109"/>
      <c r="G41" s="20"/>
      <c r="H41" s="20"/>
    </row>
    <row r="42" spans="1:8">
      <c r="A42" s="110" t="s">
        <v>43</v>
      </c>
      <c r="B42" s="111"/>
      <c r="C42" s="111"/>
      <c r="D42" s="111"/>
      <c r="E42" s="49"/>
      <c r="F42" s="112"/>
      <c r="G42" s="20"/>
      <c r="H42" s="20"/>
    </row>
    <row r="43" spans="1:8">
      <c r="A43" s="113" t="s">
        <v>44</v>
      </c>
      <c r="B43" s="111"/>
      <c r="C43" s="111"/>
      <c r="D43" s="111"/>
      <c r="E43" s="111"/>
      <c r="F43" s="114"/>
      <c r="G43" s="20"/>
      <c r="H43" s="20"/>
    </row>
    <row r="44" ht="9.75" customHeight="1" spans="1:8">
      <c r="A44" s="29"/>
      <c r="B44" s="49"/>
      <c r="C44" s="49"/>
      <c r="D44" s="49"/>
      <c r="E44" s="49"/>
      <c r="F44" s="52"/>
    </row>
    <row r="45" ht="11.25" customHeight="1" spans="1:8">
      <c r="A45" s="115" t="s">
        <v>45</v>
      </c>
      <c r="B45" s="5"/>
      <c r="C45" s="5"/>
      <c r="D45" s="5"/>
      <c r="E45" s="5"/>
      <c r="F45" s="30"/>
    </row>
    <row r="46" ht="13.5" spans="1:8">
      <c r="A46" s="116" t="s">
        <v>46</v>
      </c>
      <c r="B46" s="117"/>
      <c r="C46" s="118"/>
      <c r="D46" s="118"/>
      <c r="E46" s="118"/>
      <c r="F46" s="46"/>
    </row>
  </sheetData>
  <sheetProtection insertRows="0" deleteRows="0"/>
  <dataValidations count="1">
    <dataValidation type="list" allowBlank="1" showInputMessage="1" showErrorMessage="1" sqref="B24:B35">
      <formula1>TESTS</formula1>
    </dataValidation>
  </dataValidations>
  <printOptions horizontalCentered="1" verticalCentered="1"/>
  <pageMargins left="0.5" right="0.5" top="0.5" bottom="0.5" header="0.5" footer="0.5"/>
  <pageSetup paperSize="1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"/>
  <sheetViews>
    <sheetView showGridLines="0" tabSelected="1" workbookViewId="0">
      <selection activeCell="I7" sqref="I7"/>
    </sheetView>
  </sheetViews>
  <sheetFormatPr defaultColWidth="9" defaultRowHeight="12.75"/>
  <cols>
    <col min="1" max="1" width="8.57142857142857" customWidth="1"/>
    <col min="2" max="2" width="37.8571428571429" customWidth="1"/>
    <col min="3" max="3" width="5.85714285714286" customWidth="1"/>
    <col min="4" max="4" width="8.42857142857143" customWidth="1"/>
    <col min="5" max="5" width="11.7142857142857" customWidth="1"/>
    <col min="6" max="6" width="18.4285714285714" customWidth="1"/>
  </cols>
  <sheetData>
    <row r="1" spans="1:9">
      <c r="A1" s="21"/>
      <c r="B1" s="22"/>
      <c r="C1" s="22"/>
      <c r="D1" s="22"/>
      <c r="E1" s="22"/>
      <c r="F1" s="23"/>
      <c r="I1" s="24" t="s">
        <v>0</v>
      </c>
    </row>
    <row r="2" s="19" customFormat="1" spans="1:9">
      <c r="A2" s="25"/>
      <c r="B2" s="26"/>
      <c r="C2" s="26"/>
      <c r="D2" s="26"/>
      <c r="E2" s="27"/>
      <c r="F2" s="28"/>
    </row>
    <row r="3" spans="1:9">
      <c r="A3" s="29"/>
      <c r="B3" s="5"/>
      <c r="C3" s="5"/>
      <c r="D3" s="5"/>
      <c r="E3" s="5"/>
      <c r="F3" s="30"/>
    </row>
    <row r="4" spans="1:9">
      <c r="A4" s="29"/>
      <c r="B4" s="5"/>
      <c r="C4" s="5"/>
      <c r="D4" s="5"/>
      <c r="E4" s="5"/>
      <c r="F4" s="30"/>
    </row>
    <row r="5" spans="1:9">
      <c r="A5" s="29"/>
      <c r="B5" s="5"/>
      <c r="C5" s="5"/>
      <c r="D5" s="5"/>
      <c r="E5" s="5"/>
      <c r="F5" s="30"/>
    </row>
    <row r="6" spans="1:9">
      <c r="A6" s="31" t="s">
        <v>1</v>
      </c>
      <c r="B6" s="5"/>
      <c r="C6" s="5"/>
      <c r="D6" s="5"/>
      <c r="E6" s="5"/>
      <c r="F6" s="30"/>
    </row>
    <row r="7" spans="1:9">
      <c r="A7" s="32" t="s">
        <v>2</v>
      </c>
      <c r="B7" s="5"/>
      <c r="C7" s="5"/>
      <c r="D7" s="5"/>
      <c r="E7" s="33" t="s">
        <v>3</v>
      </c>
      <c r="F7" s="34">
        <v>45209</v>
      </c>
    </row>
    <row r="8" spans="1:9">
      <c r="A8" s="32" t="s">
        <v>4</v>
      </c>
      <c r="B8" s="5"/>
      <c r="C8" s="5"/>
      <c r="D8" s="5"/>
      <c r="E8" s="35"/>
      <c r="F8" s="30"/>
    </row>
    <row r="9" spans="1:9">
      <c r="A9" s="32" t="s">
        <v>5</v>
      </c>
      <c r="B9" s="5"/>
      <c r="C9" s="5"/>
      <c r="D9" s="5"/>
      <c r="E9" s="36" t="s">
        <v>47</v>
      </c>
      <c r="F9" s="30"/>
    </row>
    <row r="10" spans="1:9">
      <c r="A10" s="32"/>
      <c r="B10" s="5"/>
      <c r="C10" s="5"/>
      <c r="D10" s="5"/>
      <c r="E10" s="33" t="s">
        <v>48</v>
      </c>
      <c r="F10" s="30"/>
    </row>
    <row r="11" spans="1:9">
      <c r="A11" s="37"/>
      <c r="B11" s="38"/>
      <c r="C11" s="5"/>
      <c r="D11" s="5"/>
      <c r="E11" s="33" t="s">
        <v>8</v>
      </c>
      <c r="F11" s="30"/>
    </row>
    <row r="12" ht="13.5" spans="1:9">
      <c r="A12" s="29"/>
      <c r="B12" s="14" t="s">
        <v>49</v>
      </c>
      <c r="C12" s="5"/>
      <c r="D12" s="5"/>
      <c r="E12" s="5"/>
      <c r="F12" s="30"/>
    </row>
    <row r="13" spans="1:9">
      <c r="A13" s="32" t="s">
        <v>9</v>
      </c>
      <c r="B13" s="33" t="s">
        <v>50</v>
      </c>
      <c r="C13" s="5"/>
      <c r="D13" s="5"/>
      <c r="E13" s="39"/>
      <c r="F13" s="23"/>
    </row>
    <row r="14" spans="1:9">
      <c r="A14" s="32" t="s">
        <v>12</v>
      </c>
      <c r="B14" s="40" t="s">
        <v>51</v>
      </c>
      <c r="C14" s="5"/>
      <c r="D14" s="5"/>
      <c r="E14" s="32"/>
      <c r="F14" s="30"/>
    </row>
    <row r="15" spans="1:9">
      <c r="A15" s="29"/>
      <c r="B15" s="41" t="s">
        <v>52</v>
      </c>
      <c r="C15" s="5"/>
      <c r="D15" s="5"/>
      <c r="E15" s="29"/>
      <c r="F15" s="30"/>
    </row>
    <row r="16" spans="1:9">
      <c r="A16" s="29"/>
      <c r="B16" s="41" t="s">
        <v>53</v>
      </c>
      <c r="C16" s="5"/>
      <c r="D16" s="5"/>
      <c r="E16" s="42"/>
      <c r="F16" s="30"/>
    </row>
    <row r="17" spans="1:8">
      <c r="A17" s="29"/>
      <c r="B17" s="5"/>
      <c r="C17" s="5"/>
      <c r="D17" s="5"/>
      <c r="E17" s="43"/>
      <c r="F17" s="30"/>
    </row>
    <row r="18" ht="13.5" spans="1:8">
      <c r="A18" s="32" t="s">
        <v>18</v>
      </c>
      <c r="B18" s="44" t="s">
        <v>54</v>
      </c>
      <c r="C18" s="5"/>
      <c r="D18" s="5"/>
      <c r="E18" s="45"/>
      <c r="F18" s="46"/>
    </row>
    <row r="19" s="20" customFormat="1" ht="18" customHeight="1" spans="1:8">
      <c r="A19" s="47" t="s">
        <v>21</v>
      </c>
      <c r="B19" s="48" t="s">
        <v>55</v>
      </c>
      <c r="C19" s="5"/>
      <c r="D19" s="5"/>
      <c r="E19" s="49"/>
      <c r="F19" s="30"/>
      <c r="G19"/>
      <c r="H19"/>
    </row>
    <row r="20" s="20" customFormat="1" ht="18" customHeight="1" spans="1:8">
      <c r="A20" s="47" t="s">
        <v>23</v>
      </c>
      <c r="B20" s="50" t="s">
        <v>56</v>
      </c>
      <c r="C20" s="49"/>
      <c r="D20" s="49"/>
      <c r="E20" s="33" t="s">
        <v>20</v>
      </c>
      <c r="F20" s="30"/>
      <c r="G20"/>
      <c r="H20"/>
    </row>
    <row r="21" s="20" customFormat="1" ht="16.5" customHeight="1" spans="1:8">
      <c r="A21" s="51"/>
      <c r="B21" s="49"/>
      <c r="C21" s="49"/>
      <c r="D21" s="49"/>
      <c r="E21" s="49"/>
      <c r="F21" s="52"/>
      <c r="G21"/>
      <c r="H21"/>
    </row>
    <row r="22" s="20" customFormat="1" ht="20.1" customHeight="1" spans="1:8">
      <c r="A22" s="53" t="s">
        <v>26</v>
      </c>
      <c r="B22" s="54" t="s">
        <v>27</v>
      </c>
      <c r="C22" s="55" t="s">
        <v>28</v>
      </c>
      <c r="D22" s="55" t="s">
        <v>29</v>
      </c>
      <c r="E22" s="54" t="s">
        <v>30</v>
      </c>
      <c r="F22" s="56" t="s">
        <v>31</v>
      </c>
      <c r="G22"/>
      <c r="H22"/>
    </row>
    <row r="23" s="20" customFormat="1" ht="20.1" customHeight="1" spans="1:8">
      <c r="A23" s="29"/>
      <c r="B23" s="57" t="s">
        <v>57</v>
      </c>
      <c r="C23" s="58"/>
      <c r="D23" s="59"/>
      <c r="E23" s="59"/>
      <c r="F23" s="60"/>
      <c r="G23"/>
      <c r="H23"/>
    </row>
    <row r="24" s="20" customFormat="1" ht="20.1" customHeight="1" spans="1:8">
      <c r="A24" s="61">
        <v>1</v>
      </c>
      <c r="B24" s="62" t="s">
        <v>58</v>
      </c>
      <c r="C24" s="63">
        <v>84</v>
      </c>
      <c r="D24" s="64" t="s">
        <v>59</v>
      </c>
      <c r="E24" s="65">
        <v>45</v>
      </c>
      <c r="F24" s="66">
        <f>SUM(E24*C24)</f>
        <v>3780</v>
      </c>
      <c r="G24"/>
      <c r="H24"/>
    </row>
    <row r="25" s="20" customFormat="1" ht="20.1" customHeight="1" spans="1:8">
      <c r="A25" s="67">
        <v>2</v>
      </c>
      <c r="B25" s="68" t="s">
        <v>60</v>
      </c>
      <c r="C25" s="69">
        <v>62</v>
      </c>
      <c r="D25" s="70" t="s">
        <v>61</v>
      </c>
      <c r="E25" s="71">
        <v>195</v>
      </c>
      <c r="F25" s="66">
        <f t="shared" ref="F25:F34" si="0">SUM((E25*C25))</f>
        <v>12090</v>
      </c>
    </row>
    <row r="26" s="20" customFormat="1" ht="20.1" customHeight="1" spans="1:8">
      <c r="A26" s="67"/>
      <c r="B26" s="68"/>
      <c r="C26" s="69"/>
      <c r="D26" s="70"/>
      <c r="E26" s="71"/>
      <c r="F26" s="66">
        <f t="shared" si="0"/>
        <v>0</v>
      </c>
    </row>
    <row r="27" s="20" customFormat="1" ht="20.1" customHeight="1" spans="1:8">
      <c r="A27" s="67"/>
      <c r="B27" s="68"/>
      <c r="C27" s="69"/>
      <c r="D27" s="70"/>
      <c r="E27" s="71"/>
      <c r="F27" s="66">
        <f t="shared" si="0"/>
        <v>0</v>
      </c>
    </row>
    <row r="28" s="20" customFormat="1" ht="20.25" customHeight="1" spans="1:8">
      <c r="A28" s="72"/>
      <c r="B28" s="73" t="s">
        <v>62</v>
      </c>
      <c r="C28" s="74"/>
      <c r="D28" s="75"/>
      <c r="E28" s="65">
        <f t="shared" ref="E28:E34" si="1">IFERROR((VLOOKUP(B28,PRIRATE,4,FALSE)),0)</f>
        <v>0</v>
      </c>
      <c r="F28" s="66">
        <f t="shared" si="0"/>
        <v>0</v>
      </c>
    </row>
    <row r="29" s="20" customFormat="1" ht="20.1" customHeight="1" spans="1:8">
      <c r="A29" s="67">
        <v>5</v>
      </c>
      <c r="B29" s="68" t="s">
        <v>63</v>
      </c>
      <c r="C29" s="69"/>
      <c r="D29" s="70"/>
      <c r="E29" s="65"/>
      <c r="F29" s="66">
        <v>14510</v>
      </c>
    </row>
    <row r="30" s="20" customFormat="1" ht="20.1" customHeight="1" spans="1:8">
      <c r="A30" s="67" t="str">
        <f>IF(B30&gt;0,1+A29," ")</f>
        <v> </v>
      </c>
      <c r="B30" s="68"/>
      <c r="C30" s="76"/>
      <c r="D30" s="70"/>
      <c r="E30" s="65">
        <f t="shared" si="1"/>
        <v>0</v>
      </c>
      <c r="F30" s="66">
        <f t="shared" si="0"/>
        <v>0</v>
      </c>
    </row>
    <row r="31" s="20" customFormat="1" ht="20.1" customHeight="1" spans="1:8">
      <c r="A31" s="72"/>
      <c r="B31" s="73" t="s">
        <v>64</v>
      </c>
      <c r="C31" s="77"/>
      <c r="D31" s="75"/>
      <c r="E31" s="65">
        <f t="shared" si="1"/>
        <v>0</v>
      </c>
      <c r="F31" s="66">
        <f t="shared" si="0"/>
        <v>0</v>
      </c>
    </row>
    <row r="32" s="20" customFormat="1" ht="20.1" customHeight="1" spans="1:8">
      <c r="A32" s="67">
        <v>6</v>
      </c>
      <c r="B32" s="68" t="s">
        <v>65</v>
      </c>
      <c r="C32" s="76">
        <v>1</v>
      </c>
      <c r="D32" s="70" t="str">
        <f>IF(B32&gt;0,"No."," ")</f>
        <v>No.</v>
      </c>
      <c r="E32" s="65">
        <v>1000</v>
      </c>
      <c r="F32" s="66">
        <f t="shared" si="0"/>
        <v>1000</v>
      </c>
    </row>
    <row r="33" s="20" customFormat="1" ht="20.1" customHeight="1" spans="1:8">
      <c r="A33" s="67" t="str">
        <f>IF(B33&gt;0,1+A32," ")</f>
        <v> </v>
      </c>
      <c r="B33" s="68"/>
      <c r="C33" s="76"/>
      <c r="D33" s="70" t="str">
        <f>IF(B33&gt;0,"No."," ")</f>
        <v> </v>
      </c>
      <c r="E33" s="65">
        <f t="shared" si="1"/>
        <v>0</v>
      </c>
      <c r="F33" s="66">
        <f t="shared" si="0"/>
        <v>0</v>
      </c>
    </row>
    <row r="34" s="20" customFormat="1" ht="20.1" customHeight="1" spans="1:8">
      <c r="A34" s="78" t="str">
        <f t="shared" ref="A34" si="2">IF(B34&gt;0,1+A33," ")</f>
        <v> </v>
      </c>
      <c r="B34" s="79"/>
      <c r="C34" s="80"/>
      <c r="D34" s="81" t="str">
        <f>IF(B34&gt;0,"No."," ")</f>
        <v> </v>
      </c>
      <c r="E34" s="82">
        <f t="shared" si="1"/>
        <v>0</v>
      </c>
      <c r="F34" s="83">
        <f t="shared" si="0"/>
        <v>0</v>
      </c>
    </row>
    <row r="35" s="20" customFormat="1" ht="20.1" customHeight="1" spans="1:8">
      <c r="A35" s="67"/>
      <c r="B35" s="14"/>
      <c r="C35" s="84"/>
      <c r="D35" s="85" t="s">
        <v>66</v>
      </c>
      <c r="E35" s="86"/>
      <c r="F35" s="87">
        <f>SUM(F24:F34)</f>
        <v>31380</v>
      </c>
    </row>
    <row r="36" s="20" customFormat="1" ht="20.1" customHeight="1" spans="1:8">
      <c r="A36" s="88"/>
      <c r="B36" s="89"/>
      <c r="C36" s="90"/>
      <c r="D36" s="90"/>
      <c r="E36" s="91" t="s">
        <v>67</v>
      </c>
      <c r="F36" s="92"/>
    </row>
    <row r="37" s="20" customFormat="1" spans="1:8">
      <c r="A37" s="51"/>
      <c r="B37" s="93" t="s">
        <v>35</v>
      </c>
      <c r="C37" s="90"/>
      <c r="D37" s="94">
        <v>0.03</v>
      </c>
      <c r="E37" s="95" t="s">
        <v>36</v>
      </c>
      <c r="F37" s="92">
        <f>SUM((D37*F35))</f>
        <v>941.4</v>
      </c>
    </row>
    <row r="38" s="20" customFormat="1" ht="20.1" customHeight="1" spans="1:8">
      <c r="A38" s="88"/>
      <c r="B38" s="93" t="s">
        <v>68</v>
      </c>
      <c r="C38" s="90"/>
      <c r="D38" s="90"/>
      <c r="E38" s="95" t="s">
        <v>69</v>
      </c>
      <c r="F38" s="96">
        <f>SUM(F35:F37)</f>
        <v>32321.4</v>
      </c>
    </row>
    <row r="39" spans="1:8">
      <c r="A39" s="97" t="s">
        <v>39</v>
      </c>
      <c r="B39" s="98"/>
      <c r="C39" s="99"/>
      <c r="D39" s="99"/>
      <c r="E39" s="100" t="s">
        <v>70</v>
      </c>
      <c r="F39" s="101">
        <f>SUM(F38)</f>
        <v>32321.4</v>
      </c>
      <c r="G39" s="20"/>
      <c r="H39" s="20"/>
    </row>
    <row r="40" spans="1:8">
      <c r="A40" s="97" t="s">
        <v>40</v>
      </c>
      <c r="B40" s="102"/>
      <c r="C40" s="99"/>
      <c r="D40" s="99"/>
      <c r="E40" s="103"/>
      <c r="F40" s="104"/>
      <c r="G40" s="20"/>
      <c r="H40" s="20"/>
    </row>
    <row r="41" ht="15.75" spans="1:8">
      <c r="A41" s="97" t="s">
        <v>71</v>
      </c>
      <c r="B41" s="102"/>
      <c r="C41" s="99"/>
      <c r="D41" s="99"/>
      <c r="E41" s="105"/>
      <c r="F41" s="106"/>
      <c r="G41" s="20"/>
      <c r="H41" s="20"/>
    </row>
    <row r="42" spans="1:8">
      <c r="A42" s="107" t="s">
        <v>42</v>
      </c>
      <c r="B42" s="89"/>
      <c r="C42" s="90"/>
      <c r="D42" s="90"/>
      <c r="E42" s="108"/>
      <c r="F42" s="109"/>
      <c r="G42" s="20"/>
      <c r="H42" s="20"/>
    </row>
    <row r="43" spans="1:8">
      <c r="A43" s="110" t="s">
        <v>43</v>
      </c>
      <c r="B43" s="111"/>
      <c r="C43" s="111"/>
      <c r="D43" s="111"/>
      <c r="E43" s="49"/>
      <c r="F43" s="112"/>
      <c r="G43" s="20"/>
      <c r="H43" s="20"/>
    </row>
    <row r="44" spans="1:8">
      <c r="A44" s="113" t="s">
        <v>72</v>
      </c>
      <c r="B44" s="111"/>
      <c r="C44" s="111"/>
      <c r="D44" s="111"/>
      <c r="E44" s="111"/>
      <c r="F44" s="114"/>
      <c r="G44" s="20"/>
      <c r="H44" s="20"/>
    </row>
    <row r="45" spans="1:8">
      <c r="A45" s="29"/>
      <c r="B45" s="49"/>
      <c r="C45" s="49"/>
      <c r="D45" s="49"/>
      <c r="E45" s="49"/>
      <c r="F45" s="52"/>
      <c r="G45" s="20"/>
      <c r="H45" s="20"/>
    </row>
    <row r="46" ht="9.75" customHeight="1" spans="1:8">
      <c r="A46" s="115" t="s">
        <v>45</v>
      </c>
      <c r="B46" s="5"/>
      <c r="C46" s="5"/>
      <c r="D46" s="5"/>
      <c r="E46" s="5"/>
      <c r="F46" s="30"/>
    </row>
    <row r="47" ht="11.25" customHeight="1" spans="1:8">
      <c r="A47" s="116" t="s">
        <v>46</v>
      </c>
      <c r="B47" s="117"/>
      <c r="C47" s="118"/>
      <c r="D47" s="118"/>
      <c r="E47" s="118"/>
      <c r="F47" s="46"/>
    </row>
  </sheetData>
  <sheetProtection insertRows="0" deleteRows="0"/>
  <mergeCells count="3">
    <mergeCell ref="D35:E35"/>
    <mergeCell ref="E39:E40"/>
    <mergeCell ref="F39:F40"/>
  </mergeCells>
  <dataValidations count="1">
    <dataValidation type="list" allowBlank="1" showInputMessage="1" showErrorMessage="1" sqref="B24:B35">
      <formula1>TESTS</formula1>
    </dataValidation>
  </dataValidations>
  <printOptions horizontalCentered="1" verticalCentered="1"/>
  <pageMargins left="0.5" right="0.5" top="0.5" bottom="0.5" header="0.5" footer="0.5"/>
  <pageSetup paperSize="1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0"/>
  <sheetViews>
    <sheetView topLeftCell="A58" workbookViewId="0">
      <selection activeCell="J101" sqref="J101"/>
    </sheetView>
  </sheetViews>
  <sheetFormatPr defaultColWidth="9" defaultRowHeight="12.75"/>
  <cols>
    <col min="2" max="2" width="45.5714285714286" customWidth="1"/>
    <col min="3" max="3" width="7.57142857142857" customWidth="1"/>
    <col min="4" max="4" width="12.5714285714286" customWidth="1"/>
    <col min="5" max="5" width="13.1428571428571" customWidth="1"/>
    <col min="6" max="6" width="15.1428571428571" customWidth="1"/>
    <col min="8" max="8" width="43.1428571428571" customWidth="1"/>
  </cols>
  <sheetData>
    <row r="1" ht="20.25" spans="1:11">
      <c r="A1" s="1"/>
      <c r="B1" s="2" t="s">
        <v>73</v>
      </c>
      <c r="C1" s="2"/>
      <c r="D1" s="2"/>
      <c r="E1" s="2"/>
      <c r="F1" s="2"/>
    </row>
    <row r="2" ht="18" spans="1:11">
      <c r="A2" s="1"/>
      <c r="B2" s="3" t="s">
        <v>74</v>
      </c>
      <c r="C2" s="3" t="s">
        <v>29</v>
      </c>
      <c r="D2" s="4" t="s">
        <v>75</v>
      </c>
      <c r="E2" s="4"/>
      <c r="F2" s="3" t="s">
        <v>76</v>
      </c>
      <c r="H2" s="5"/>
      <c r="I2" s="5"/>
      <c r="J2" s="5"/>
      <c r="K2" s="5"/>
    </row>
    <row r="3" ht="18" spans="1:11">
      <c r="A3" s="1"/>
      <c r="B3" s="3"/>
      <c r="C3" s="3"/>
      <c r="D3" s="3" t="s">
        <v>77</v>
      </c>
      <c r="E3" s="6" t="s">
        <v>78</v>
      </c>
      <c r="F3" s="3"/>
      <c r="H3" s="5"/>
      <c r="I3" s="5"/>
      <c r="J3" s="5"/>
      <c r="K3" s="5"/>
    </row>
    <row r="4" ht="15.75" spans="1:11">
      <c r="A4" s="1"/>
      <c r="B4" s="7" t="s">
        <v>79</v>
      </c>
      <c r="C4" s="7"/>
      <c r="D4" s="7"/>
      <c r="E4" s="8"/>
      <c r="F4" s="9"/>
      <c r="H4" s="10"/>
      <c r="I4" s="11"/>
      <c r="J4" s="5"/>
      <c r="K4" s="5"/>
    </row>
    <row r="5" spans="1:11">
      <c r="A5" s="1"/>
      <c r="B5" s="9" t="s">
        <v>80</v>
      </c>
      <c r="C5" s="12" t="s">
        <v>61</v>
      </c>
      <c r="D5" s="8">
        <v>55</v>
      </c>
      <c r="E5" s="8">
        <v>80</v>
      </c>
      <c r="F5" s="9"/>
      <c r="H5" s="5"/>
      <c r="I5" s="13"/>
      <c r="J5" s="5"/>
      <c r="K5" s="5"/>
    </row>
    <row r="6" spans="1:11">
      <c r="A6" s="1"/>
      <c r="B6" s="9" t="s">
        <v>81</v>
      </c>
      <c r="C6" s="12" t="s">
        <v>61</v>
      </c>
      <c r="D6" s="8">
        <v>95</v>
      </c>
      <c r="E6" s="8">
        <v>135</v>
      </c>
      <c r="F6" s="9"/>
      <c r="H6" s="5"/>
      <c r="I6" s="13"/>
      <c r="J6" s="5"/>
      <c r="K6" s="5"/>
    </row>
    <row r="7" spans="1:11">
      <c r="A7" s="1"/>
      <c r="B7" s="9" t="s">
        <v>82</v>
      </c>
      <c r="C7" s="12" t="s">
        <v>61</v>
      </c>
      <c r="D7" s="8">
        <v>75</v>
      </c>
      <c r="E7" s="8">
        <v>110</v>
      </c>
      <c r="F7" s="9"/>
      <c r="H7" s="14"/>
      <c r="I7" s="13"/>
      <c r="J7" s="5"/>
      <c r="K7" s="5"/>
    </row>
    <row r="8" spans="1:11">
      <c r="A8" s="1"/>
      <c r="B8" s="9" t="s">
        <v>83</v>
      </c>
      <c r="C8" s="12" t="s">
        <v>61</v>
      </c>
      <c r="D8" s="8">
        <v>130</v>
      </c>
      <c r="E8" s="8">
        <v>185</v>
      </c>
      <c r="F8" s="9"/>
      <c r="H8" s="14"/>
      <c r="I8" s="13"/>
      <c r="J8" s="5"/>
      <c r="K8" s="5"/>
    </row>
    <row r="9" spans="1:11">
      <c r="A9" s="1"/>
      <c r="B9" s="12" t="s">
        <v>84</v>
      </c>
      <c r="C9" s="12" t="s">
        <v>61</v>
      </c>
      <c r="D9" s="15">
        <v>145</v>
      </c>
      <c r="E9" s="8">
        <v>210</v>
      </c>
      <c r="F9" s="9"/>
      <c r="H9" s="14"/>
      <c r="I9" s="13"/>
      <c r="J9" s="5"/>
      <c r="K9" s="5"/>
    </row>
    <row r="10" spans="1:11">
      <c r="A10" s="1"/>
      <c r="B10" s="12" t="s">
        <v>85</v>
      </c>
      <c r="C10" s="12" t="s">
        <v>61</v>
      </c>
      <c r="D10" s="15">
        <v>130</v>
      </c>
      <c r="E10" s="8">
        <v>185</v>
      </c>
      <c r="F10" s="9"/>
      <c r="H10" s="14"/>
      <c r="I10" s="13"/>
      <c r="J10" s="5"/>
      <c r="K10" s="5"/>
    </row>
    <row r="11" spans="1:11">
      <c r="A11" s="1"/>
      <c r="B11" s="12" t="s">
        <v>86</v>
      </c>
      <c r="C11" s="12" t="s">
        <v>61</v>
      </c>
      <c r="D11" s="15">
        <v>75</v>
      </c>
      <c r="E11" s="8">
        <v>110</v>
      </c>
      <c r="F11" s="9"/>
      <c r="H11" s="14"/>
      <c r="I11" s="13"/>
      <c r="J11" s="5"/>
      <c r="K11" s="5"/>
    </row>
    <row r="12" spans="1:11">
      <c r="A12" s="1"/>
      <c r="B12" s="12" t="s">
        <v>87</v>
      </c>
      <c r="C12" s="12" t="s">
        <v>61</v>
      </c>
      <c r="D12" s="15">
        <v>110</v>
      </c>
      <c r="E12" s="8">
        <v>160</v>
      </c>
      <c r="F12" s="9"/>
      <c r="H12" s="14"/>
      <c r="I12" s="13"/>
      <c r="J12" s="5"/>
      <c r="K12" s="5"/>
    </row>
    <row r="13" spans="1:11">
      <c r="A13" s="1"/>
      <c r="B13" s="12" t="s">
        <v>88</v>
      </c>
      <c r="C13" s="12" t="s">
        <v>61</v>
      </c>
      <c r="D13" s="15">
        <v>110</v>
      </c>
      <c r="E13" s="8">
        <v>160</v>
      </c>
      <c r="F13" s="9"/>
      <c r="H13" s="14"/>
      <c r="I13" s="13"/>
      <c r="J13" s="5"/>
      <c r="K13" s="5"/>
    </row>
    <row r="14" spans="1:11">
      <c r="A14" s="1"/>
      <c r="B14" s="12" t="s">
        <v>89</v>
      </c>
      <c r="C14" s="12" t="s">
        <v>61</v>
      </c>
      <c r="D14" s="15">
        <v>245</v>
      </c>
      <c r="E14" s="8">
        <v>350</v>
      </c>
      <c r="F14" s="9"/>
      <c r="H14" s="14"/>
      <c r="I14" s="13"/>
      <c r="J14" s="5"/>
      <c r="K14" s="5"/>
    </row>
    <row r="15" spans="1:11">
      <c r="A15" s="1"/>
      <c r="B15" s="12" t="s">
        <v>90</v>
      </c>
      <c r="C15" s="12" t="s">
        <v>61</v>
      </c>
      <c r="D15" s="15">
        <v>325</v>
      </c>
      <c r="E15" s="8">
        <v>465</v>
      </c>
      <c r="F15" s="9"/>
      <c r="H15" s="14"/>
      <c r="I15" s="13"/>
      <c r="J15" s="5"/>
      <c r="K15" s="5"/>
    </row>
    <row r="16" spans="1:11">
      <c r="A16" s="1"/>
      <c r="B16" s="12" t="s">
        <v>91</v>
      </c>
      <c r="C16" s="12" t="s">
        <v>61</v>
      </c>
      <c r="D16" s="15">
        <v>245</v>
      </c>
      <c r="E16" s="8">
        <v>350</v>
      </c>
      <c r="F16" s="9"/>
      <c r="H16" s="14"/>
      <c r="I16" s="13"/>
      <c r="J16" s="5"/>
      <c r="K16" s="5"/>
    </row>
    <row r="17" spans="1:11">
      <c r="A17" s="1"/>
      <c r="B17" s="12" t="s">
        <v>92</v>
      </c>
      <c r="C17" s="12" t="s">
        <v>61</v>
      </c>
      <c r="D17" s="15">
        <v>245</v>
      </c>
      <c r="E17" s="8">
        <v>350</v>
      </c>
      <c r="F17" s="9"/>
      <c r="H17" s="14"/>
      <c r="I17" s="13"/>
      <c r="J17" s="5"/>
      <c r="K17" s="5"/>
    </row>
    <row r="18" spans="1:11">
      <c r="A18" s="1"/>
      <c r="B18" s="12" t="s">
        <v>93</v>
      </c>
      <c r="C18" s="12" t="s">
        <v>61</v>
      </c>
      <c r="D18" s="15">
        <v>40</v>
      </c>
      <c r="E18" s="8">
        <v>55</v>
      </c>
      <c r="F18" s="9"/>
      <c r="H18" s="14"/>
      <c r="I18" s="13"/>
      <c r="J18" s="5"/>
      <c r="K18" s="5"/>
    </row>
    <row r="19" spans="1:11">
      <c r="A19" s="1"/>
      <c r="B19" s="12" t="s">
        <v>94</v>
      </c>
      <c r="C19" s="12" t="s">
        <v>61</v>
      </c>
      <c r="D19" s="15">
        <v>40</v>
      </c>
      <c r="E19" s="8">
        <v>55</v>
      </c>
      <c r="F19" s="9"/>
      <c r="H19" s="14"/>
      <c r="I19" s="13"/>
      <c r="J19" s="5"/>
      <c r="K19" s="5"/>
    </row>
    <row r="20" spans="1:11">
      <c r="A20" s="1"/>
      <c r="B20" s="12" t="s">
        <v>95</v>
      </c>
      <c r="C20" s="12" t="s">
        <v>61</v>
      </c>
      <c r="D20" s="15">
        <v>55</v>
      </c>
      <c r="E20" s="8">
        <v>80</v>
      </c>
      <c r="F20" s="9"/>
      <c r="H20" s="14"/>
      <c r="I20" s="13"/>
      <c r="J20" s="5"/>
      <c r="K20" s="5"/>
    </row>
    <row r="21" spans="1:11">
      <c r="A21" s="1"/>
      <c r="B21" s="12" t="s">
        <v>96</v>
      </c>
      <c r="C21" s="12" t="s">
        <v>61</v>
      </c>
      <c r="D21" s="15">
        <v>50</v>
      </c>
      <c r="E21" s="8">
        <v>70</v>
      </c>
      <c r="F21" s="9"/>
      <c r="H21" s="14"/>
      <c r="I21" s="13"/>
      <c r="J21" s="5"/>
      <c r="K21" s="5"/>
    </row>
    <row r="22" spans="1:11">
      <c r="A22" s="1"/>
      <c r="B22" s="12"/>
      <c r="C22" s="12"/>
      <c r="D22" s="15"/>
      <c r="E22" s="8"/>
      <c r="F22" s="9"/>
      <c r="H22" s="14"/>
      <c r="I22" s="13"/>
      <c r="J22" s="5"/>
      <c r="K22" s="5"/>
    </row>
    <row r="23" spans="1:11">
      <c r="A23" s="1"/>
      <c r="B23" s="12"/>
      <c r="C23" s="12"/>
      <c r="D23" s="15"/>
      <c r="E23" s="8"/>
      <c r="F23" s="9"/>
      <c r="H23" s="14"/>
      <c r="I23" s="13"/>
      <c r="J23" s="5"/>
      <c r="K23" s="5"/>
    </row>
    <row r="24" spans="1:11">
      <c r="A24" s="1"/>
      <c r="B24" s="12"/>
      <c r="C24" s="12"/>
      <c r="D24" s="15"/>
      <c r="E24" s="8"/>
      <c r="F24" s="9"/>
      <c r="H24" s="14"/>
      <c r="I24" s="13"/>
      <c r="J24" s="5"/>
      <c r="K24" s="5"/>
    </row>
    <row r="25" ht="15.75" spans="1:11">
      <c r="A25" s="1"/>
      <c r="B25" s="7" t="s">
        <v>97</v>
      </c>
      <c r="C25" s="7"/>
      <c r="D25" s="16"/>
      <c r="E25" s="8"/>
      <c r="F25" s="9"/>
      <c r="H25" s="14"/>
      <c r="I25" s="13"/>
      <c r="J25" s="5"/>
      <c r="K25" s="5"/>
    </row>
    <row r="26" spans="1:11">
      <c r="A26" s="1"/>
      <c r="B26" s="12" t="s">
        <v>98</v>
      </c>
      <c r="C26" s="12" t="s">
        <v>61</v>
      </c>
      <c r="D26" s="15">
        <v>45</v>
      </c>
      <c r="E26" s="8">
        <v>65</v>
      </c>
      <c r="F26" s="9"/>
      <c r="H26" s="14"/>
      <c r="I26" s="13"/>
      <c r="J26" s="5"/>
      <c r="K26" s="5"/>
    </row>
    <row r="27" spans="1:11">
      <c r="A27" s="1"/>
      <c r="B27" s="12" t="s">
        <v>99</v>
      </c>
      <c r="C27" s="12" t="s">
        <v>61</v>
      </c>
      <c r="D27" s="15">
        <v>70</v>
      </c>
      <c r="E27" s="8">
        <v>100</v>
      </c>
      <c r="F27" s="9"/>
      <c r="H27" s="14"/>
      <c r="I27" s="13"/>
      <c r="J27" s="5"/>
      <c r="K27" s="5"/>
    </row>
    <row r="28" ht="15.75" spans="1:11">
      <c r="A28" s="1"/>
      <c r="B28" s="12" t="s">
        <v>100</v>
      </c>
      <c r="C28" s="12" t="s">
        <v>61</v>
      </c>
      <c r="D28" s="15">
        <v>45</v>
      </c>
      <c r="E28" s="8">
        <v>65</v>
      </c>
      <c r="F28" s="9"/>
      <c r="H28" s="17"/>
      <c r="I28" s="13"/>
      <c r="J28" s="5"/>
      <c r="K28" s="5"/>
    </row>
    <row r="29" ht="15.75" spans="1:11">
      <c r="A29" s="1"/>
      <c r="B29" s="12" t="s">
        <v>101</v>
      </c>
      <c r="C29" s="12" t="s">
        <v>61</v>
      </c>
      <c r="D29" s="15">
        <v>40</v>
      </c>
      <c r="E29" s="8">
        <v>55</v>
      </c>
      <c r="F29" s="9"/>
      <c r="H29" s="17"/>
      <c r="I29" s="13"/>
      <c r="J29" s="5"/>
      <c r="K29" s="5"/>
    </row>
    <row r="30" spans="1:11">
      <c r="A30" s="1"/>
      <c r="B30" s="12" t="s">
        <v>102</v>
      </c>
      <c r="C30" s="12" t="s">
        <v>61</v>
      </c>
      <c r="D30" s="15">
        <v>40</v>
      </c>
      <c r="E30" s="8">
        <v>65</v>
      </c>
      <c r="F30" s="9"/>
      <c r="H30" s="5"/>
      <c r="I30" s="13"/>
      <c r="J30" s="5"/>
      <c r="K30" s="5"/>
    </row>
    <row r="31" spans="1:11">
      <c r="A31" s="1"/>
      <c r="B31" s="12" t="s">
        <v>103</v>
      </c>
      <c r="C31" s="12" t="s">
        <v>61</v>
      </c>
      <c r="D31" s="15">
        <v>55</v>
      </c>
      <c r="E31" s="8">
        <v>80</v>
      </c>
      <c r="F31" s="9"/>
      <c r="H31" s="5"/>
      <c r="I31" s="13"/>
      <c r="J31" s="5"/>
      <c r="K31" s="5"/>
    </row>
    <row r="32" spans="1:11">
      <c r="A32" s="1"/>
      <c r="B32" s="12" t="s">
        <v>104</v>
      </c>
      <c r="C32" s="12" t="s">
        <v>61</v>
      </c>
      <c r="D32" s="15">
        <v>80</v>
      </c>
      <c r="E32" s="8">
        <v>115</v>
      </c>
      <c r="F32" s="9"/>
      <c r="H32" s="5"/>
      <c r="I32" s="13"/>
      <c r="J32" s="5"/>
      <c r="K32" s="5"/>
    </row>
    <row r="33" spans="1:11">
      <c r="A33" s="1"/>
      <c r="B33" s="12" t="s">
        <v>105</v>
      </c>
      <c r="C33" s="12" t="s">
        <v>61</v>
      </c>
      <c r="D33" s="15">
        <v>30</v>
      </c>
      <c r="E33" s="8">
        <v>45</v>
      </c>
      <c r="F33" s="9"/>
      <c r="H33" s="5"/>
      <c r="I33" s="13"/>
      <c r="J33" s="5"/>
      <c r="K33" s="5"/>
    </row>
    <row r="34" spans="1:11">
      <c r="A34" s="1"/>
      <c r="B34" s="12"/>
      <c r="C34" s="12"/>
      <c r="D34" s="15"/>
      <c r="E34" s="8"/>
      <c r="F34" s="9"/>
      <c r="H34" s="5"/>
      <c r="I34" s="13"/>
      <c r="J34" s="5"/>
      <c r="K34" s="5"/>
    </row>
    <row r="35" spans="1:11">
      <c r="A35" s="1"/>
      <c r="B35" s="12"/>
      <c r="C35" s="12"/>
      <c r="D35" s="15"/>
      <c r="E35" s="8"/>
      <c r="F35" s="9"/>
      <c r="H35" s="5"/>
      <c r="I35" s="13"/>
      <c r="J35" s="5"/>
      <c r="K35" s="5"/>
    </row>
    <row r="36" spans="1:11">
      <c r="A36" s="1"/>
      <c r="B36" s="12"/>
      <c r="C36" s="12"/>
      <c r="D36" s="15"/>
      <c r="E36" s="8"/>
      <c r="F36" s="9"/>
      <c r="H36" s="5"/>
      <c r="I36" s="13"/>
      <c r="J36" s="5"/>
      <c r="K36" s="5"/>
    </row>
    <row r="37" ht="15.75" spans="1:11">
      <c r="A37" s="1"/>
      <c r="B37" s="7" t="s">
        <v>106</v>
      </c>
      <c r="C37" s="12"/>
      <c r="D37" s="15"/>
      <c r="E37" s="8"/>
      <c r="F37" s="9"/>
      <c r="H37" s="14"/>
      <c r="I37" s="13"/>
      <c r="J37" s="5"/>
      <c r="K37" s="5"/>
    </row>
    <row r="38" spans="1:11">
      <c r="A38" s="1"/>
      <c r="B38" s="12" t="s">
        <v>107</v>
      </c>
      <c r="C38" s="12" t="s">
        <v>61</v>
      </c>
      <c r="D38" s="15">
        <v>80</v>
      </c>
      <c r="E38" s="8">
        <v>115</v>
      </c>
      <c r="F38" s="9"/>
      <c r="H38" s="14"/>
      <c r="I38" s="13"/>
      <c r="J38" s="5"/>
      <c r="K38" s="5"/>
    </row>
    <row r="39" spans="1:11">
      <c r="A39" s="1"/>
      <c r="B39" s="12" t="s">
        <v>108</v>
      </c>
      <c r="C39" s="12" t="s">
        <v>61</v>
      </c>
      <c r="D39" s="15">
        <v>80</v>
      </c>
      <c r="E39" s="8">
        <v>115</v>
      </c>
      <c r="F39" s="9"/>
      <c r="H39" s="14"/>
      <c r="I39" s="13"/>
      <c r="J39" s="5"/>
      <c r="K39" s="5"/>
    </row>
    <row r="40" spans="1:11">
      <c r="A40" s="1"/>
      <c r="B40" s="12" t="s">
        <v>109</v>
      </c>
      <c r="C40" s="12" t="s">
        <v>61</v>
      </c>
      <c r="D40" s="15">
        <v>65</v>
      </c>
      <c r="E40" s="8">
        <v>90</v>
      </c>
      <c r="F40" s="9"/>
      <c r="H40" s="14"/>
      <c r="I40" s="13"/>
      <c r="J40" s="5"/>
      <c r="K40" s="5"/>
    </row>
    <row r="41" spans="1:11">
      <c r="A41" s="1"/>
      <c r="B41" s="12" t="s">
        <v>110</v>
      </c>
      <c r="C41" s="12" t="s">
        <v>61</v>
      </c>
      <c r="D41" s="15">
        <v>65</v>
      </c>
      <c r="E41" s="8">
        <v>90</v>
      </c>
      <c r="F41" s="9"/>
      <c r="H41" s="14"/>
      <c r="I41" s="13"/>
      <c r="J41" s="5"/>
      <c r="K41" s="5"/>
    </row>
    <row r="42" spans="1:11">
      <c r="A42" s="1"/>
      <c r="B42" s="12" t="s">
        <v>111</v>
      </c>
      <c r="C42" s="12" t="s">
        <v>61</v>
      </c>
      <c r="D42" s="15">
        <v>80</v>
      </c>
      <c r="E42" s="8">
        <v>115</v>
      </c>
      <c r="F42" s="9"/>
      <c r="H42" s="14"/>
      <c r="I42" s="13"/>
      <c r="J42" s="5"/>
      <c r="K42" s="5"/>
    </row>
    <row r="43" spans="1:11">
      <c r="A43" s="1"/>
      <c r="B43" s="12" t="s">
        <v>112</v>
      </c>
      <c r="C43" s="12" t="s">
        <v>61</v>
      </c>
      <c r="D43" s="15">
        <v>80</v>
      </c>
      <c r="E43" s="8">
        <v>115</v>
      </c>
      <c r="F43" s="9"/>
      <c r="H43" s="14"/>
      <c r="I43" s="13"/>
      <c r="J43" s="5"/>
      <c r="K43" s="5"/>
    </row>
    <row r="44" spans="1:11">
      <c r="A44" s="1"/>
      <c r="B44" s="12"/>
      <c r="C44" s="12"/>
      <c r="D44" s="15"/>
      <c r="E44" s="8"/>
      <c r="F44" s="9"/>
      <c r="H44" s="14"/>
      <c r="I44" s="13"/>
      <c r="J44" s="5"/>
      <c r="K44" s="5"/>
    </row>
    <row r="45" spans="1:11">
      <c r="A45" s="1"/>
      <c r="B45" s="12"/>
      <c r="C45" s="12"/>
      <c r="D45" s="15"/>
      <c r="E45" s="8"/>
      <c r="F45" s="9"/>
      <c r="H45" s="14"/>
      <c r="I45" s="13"/>
      <c r="J45" s="5"/>
      <c r="K45" s="5"/>
    </row>
    <row r="46" spans="1:11">
      <c r="A46" s="1"/>
      <c r="B46" s="12"/>
      <c r="C46" s="12"/>
      <c r="D46" s="15"/>
      <c r="E46" s="8"/>
      <c r="F46" s="9"/>
      <c r="H46" s="14"/>
      <c r="I46" s="13"/>
      <c r="J46" s="5"/>
      <c r="K46" s="5"/>
    </row>
    <row r="47" ht="15.75" spans="1:11">
      <c r="A47" s="1"/>
      <c r="B47" s="7" t="s">
        <v>113</v>
      </c>
      <c r="C47" s="12"/>
      <c r="D47" s="15"/>
      <c r="E47" s="8"/>
      <c r="F47" s="9"/>
      <c r="H47" s="14"/>
      <c r="I47" s="13"/>
      <c r="J47" s="5"/>
      <c r="K47" s="5"/>
    </row>
    <row r="48" spans="1:11">
      <c r="A48" s="1"/>
      <c r="B48" s="12" t="s">
        <v>32</v>
      </c>
      <c r="C48" s="12" t="s">
        <v>61</v>
      </c>
      <c r="D48" s="15">
        <v>65</v>
      </c>
      <c r="E48" s="8">
        <v>90</v>
      </c>
      <c r="F48" s="9"/>
      <c r="H48" s="14"/>
      <c r="I48" s="13"/>
      <c r="J48" s="5"/>
      <c r="K48" s="5"/>
    </row>
    <row r="49" spans="1:11">
      <c r="A49" s="1"/>
      <c r="B49" s="12"/>
      <c r="C49" s="12"/>
      <c r="D49" s="15"/>
      <c r="E49" s="8"/>
      <c r="F49" s="9"/>
      <c r="H49" s="14"/>
      <c r="I49" s="13"/>
      <c r="J49" s="5"/>
      <c r="K49" s="5"/>
    </row>
    <row r="50" spans="1:11">
      <c r="A50" s="1"/>
      <c r="B50" s="12"/>
      <c r="C50" s="12"/>
      <c r="D50" s="15"/>
      <c r="E50" s="8"/>
      <c r="F50" s="9"/>
      <c r="H50" s="14"/>
      <c r="I50" s="13"/>
      <c r="J50" s="5"/>
      <c r="K50" s="5"/>
    </row>
    <row r="51" spans="1:11">
      <c r="A51" s="1"/>
      <c r="B51" s="12"/>
      <c r="C51" s="12"/>
      <c r="D51" s="15"/>
      <c r="E51" s="8"/>
      <c r="F51" s="9"/>
      <c r="H51" s="14"/>
      <c r="I51" s="13"/>
      <c r="J51" s="5"/>
      <c r="K51" s="5"/>
    </row>
    <row r="52" ht="15.75" spans="1:11">
      <c r="A52" s="1"/>
      <c r="B52" s="7" t="s">
        <v>114</v>
      </c>
      <c r="C52" s="7"/>
      <c r="D52" s="16"/>
      <c r="E52" s="18"/>
      <c r="F52" s="9"/>
      <c r="H52" s="14"/>
      <c r="I52" s="13"/>
      <c r="J52" s="5"/>
      <c r="K52" s="5"/>
    </row>
    <row r="53" spans="1:11">
      <c r="A53" s="1"/>
      <c r="B53" s="9" t="s">
        <v>115</v>
      </c>
      <c r="C53" s="12" t="s">
        <v>61</v>
      </c>
      <c r="D53" s="8">
        <v>25</v>
      </c>
      <c r="E53" s="8">
        <v>35</v>
      </c>
      <c r="F53" s="9"/>
      <c r="H53" s="14"/>
      <c r="I53" s="13"/>
      <c r="J53" s="5"/>
      <c r="K53" s="5"/>
    </row>
    <row r="54" spans="1:11">
      <c r="A54" s="1"/>
      <c r="B54" s="9" t="s">
        <v>116</v>
      </c>
      <c r="C54" s="12" t="s">
        <v>61</v>
      </c>
      <c r="D54" s="8">
        <v>120</v>
      </c>
      <c r="E54" s="8">
        <v>170</v>
      </c>
      <c r="F54" s="9"/>
      <c r="H54" s="14"/>
      <c r="I54" s="13"/>
      <c r="J54" s="5"/>
      <c r="K54" s="5"/>
    </row>
    <row r="55" spans="1:11">
      <c r="A55" s="1"/>
      <c r="B55" s="12" t="s">
        <v>117</v>
      </c>
      <c r="C55" s="12" t="s">
        <v>61</v>
      </c>
      <c r="D55" s="15">
        <v>40</v>
      </c>
      <c r="E55" s="8">
        <v>55</v>
      </c>
      <c r="F55" s="9"/>
      <c r="H55" s="14"/>
      <c r="I55" s="13"/>
      <c r="J55" s="5"/>
      <c r="K55" s="5"/>
    </row>
    <row r="56" spans="1:11">
      <c r="A56" s="1"/>
      <c r="B56" s="12" t="s">
        <v>118</v>
      </c>
      <c r="C56" s="12" t="s">
        <v>61</v>
      </c>
      <c r="D56" s="15">
        <v>100</v>
      </c>
      <c r="E56" s="8">
        <v>145</v>
      </c>
      <c r="F56" s="9"/>
      <c r="H56" s="14"/>
      <c r="I56" s="13"/>
      <c r="J56" s="5"/>
      <c r="K56" s="5"/>
    </row>
    <row r="57" spans="1:11">
      <c r="A57" s="1"/>
      <c r="B57" s="12" t="s">
        <v>119</v>
      </c>
      <c r="C57" s="12" t="s">
        <v>61</v>
      </c>
      <c r="D57" s="15">
        <v>115</v>
      </c>
      <c r="E57" s="8">
        <v>165</v>
      </c>
      <c r="F57" s="9"/>
      <c r="H57" s="14"/>
      <c r="I57" s="13"/>
      <c r="J57" s="5"/>
      <c r="K57" s="5"/>
    </row>
    <row r="58" spans="1:11">
      <c r="A58" s="1"/>
      <c r="B58" s="12" t="s">
        <v>120</v>
      </c>
      <c r="C58" s="12" t="s">
        <v>61</v>
      </c>
      <c r="D58" s="15">
        <v>210</v>
      </c>
      <c r="E58" s="8">
        <v>280</v>
      </c>
      <c r="F58" s="9"/>
      <c r="H58" s="14"/>
      <c r="I58" s="13"/>
      <c r="J58" s="5"/>
      <c r="K58" s="5"/>
    </row>
    <row r="59" spans="1:11">
      <c r="A59" s="1"/>
      <c r="B59" s="12" t="s">
        <v>121</v>
      </c>
      <c r="C59" s="12" t="s">
        <v>61</v>
      </c>
      <c r="D59" s="15">
        <v>120</v>
      </c>
      <c r="E59" s="8">
        <v>170</v>
      </c>
      <c r="F59" s="9"/>
      <c r="H59" s="14"/>
      <c r="I59" s="13"/>
      <c r="J59" s="5"/>
      <c r="K59" s="5"/>
    </row>
    <row r="60" spans="1:11">
      <c r="A60" s="1"/>
      <c r="B60" s="12" t="s">
        <v>122</v>
      </c>
      <c r="C60" s="12" t="s">
        <v>61</v>
      </c>
      <c r="D60" s="15">
        <v>120</v>
      </c>
      <c r="E60" s="8">
        <v>175</v>
      </c>
      <c r="F60" s="9"/>
      <c r="H60" s="14"/>
      <c r="I60" s="13"/>
      <c r="J60" s="5"/>
      <c r="K60" s="5"/>
    </row>
    <row r="61" spans="1:11">
      <c r="A61" s="1"/>
      <c r="B61" s="12" t="s">
        <v>123</v>
      </c>
      <c r="C61" s="12" t="s">
        <v>61</v>
      </c>
      <c r="D61" s="15">
        <v>150</v>
      </c>
      <c r="E61" s="8">
        <v>220</v>
      </c>
      <c r="F61" s="9"/>
      <c r="H61" s="14"/>
      <c r="I61" s="13"/>
      <c r="J61" s="5"/>
      <c r="K61" s="5"/>
    </row>
    <row r="62" spans="1:11">
      <c r="A62" s="1"/>
      <c r="B62" s="12" t="s">
        <v>124</v>
      </c>
      <c r="C62" s="12" t="s">
        <v>61</v>
      </c>
      <c r="D62" s="15">
        <v>180</v>
      </c>
      <c r="E62" s="8">
        <v>260</v>
      </c>
      <c r="F62" s="9"/>
      <c r="H62" s="14"/>
      <c r="I62" s="13"/>
      <c r="J62" s="5"/>
      <c r="K62" s="5"/>
    </row>
    <row r="63" spans="1:11">
      <c r="A63" s="1"/>
      <c r="B63" s="12" t="s">
        <v>125</v>
      </c>
      <c r="C63" s="12" t="s">
        <v>61</v>
      </c>
      <c r="D63" s="15">
        <v>180</v>
      </c>
      <c r="E63" s="8">
        <v>260</v>
      </c>
      <c r="F63" s="9"/>
      <c r="H63" s="14"/>
      <c r="I63" s="13"/>
      <c r="J63" s="5"/>
      <c r="K63" s="5"/>
    </row>
    <row r="64" spans="1:11">
      <c r="A64" s="1"/>
      <c r="B64" s="12" t="s">
        <v>126</v>
      </c>
      <c r="C64" s="12" t="s">
        <v>61</v>
      </c>
      <c r="D64" s="15">
        <v>150</v>
      </c>
      <c r="E64" s="8">
        <v>220</v>
      </c>
      <c r="F64" s="9"/>
      <c r="H64" s="14"/>
      <c r="I64" s="13"/>
      <c r="J64" s="5"/>
      <c r="K64" s="5"/>
    </row>
    <row r="65" spans="1:11">
      <c r="A65" s="1"/>
      <c r="B65" s="12" t="s">
        <v>127</v>
      </c>
      <c r="C65" s="12" t="s">
        <v>61</v>
      </c>
      <c r="D65" s="15">
        <v>175</v>
      </c>
      <c r="E65" s="8">
        <v>250</v>
      </c>
      <c r="F65" s="9"/>
      <c r="H65" s="14"/>
      <c r="I65" s="13"/>
      <c r="J65" s="5"/>
      <c r="K65" s="5"/>
    </row>
    <row r="66" ht="15.75" spans="1:11">
      <c r="A66" s="1"/>
      <c r="B66" s="12" t="s">
        <v>128</v>
      </c>
      <c r="C66" s="12" t="s">
        <v>61</v>
      </c>
      <c r="D66" s="15">
        <v>350</v>
      </c>
      <c r="E66" s="8">
        <v>500</v>
      </c>
      <c r="F66" s="9"/>
      <c r="H66" s="10"/>
      <c r="I66" s="13"/>
      <c r="J66" s="5"/>
      <c r="K66" s="5"/>
    </row>
    <row r="67" spans="1:11">
      <c r="A67" s="1"/>
      <c r="B67" s="12" t="s">
        <v>129</v>
      </c>
      <c r="C67" s="12" t="s">
        <v>61</v>
      </c>
      <c r="D67" s="15">
        <v>75</v>
      </c>
      <c r="E67" s="8">
        <v>95</v>
      </c>
      <c r="F67" s="9"/>
      <c r="H67" s="14"/>
      <c r="I67" s="13"/>
      <c r="J67" s="5"/>
      <c r="K67" s="5"/>
    </row>
    <row r="68" spans="1:11">
      <c r="A68" s="1"/>
      <c r="B68" s="12" t="s">
        <v>130</v>
      </c>
      <c r="C68" s="12" t="s">
        <v>61</v>
      </c>
      <c r="D68" s="15">
        <v>60</v>
      </c>
      <c r="E68" s="8">
        <v>80</v>
      </c>
      <c r="F68" s="9"/>
      <c r="H68" s="14"/>
      <c r="I68" s="13"/>
      <c r="J68" s="5"/>
      <c r="K68" s="5"/>
    </row>
    <row r="69" spans="1:11">
      <c r="A69" s="1"/>
      <c r="B69" s="12" t="s">
        <v>131</v>
      </c>
      <c r="C69" s="12" t="s">
        <v>61</v>
      </c>
      <c r="D69" s="15">
        <v>60</v>
      </c>
      <c r="E69" s="8">
        <v>80</v>
      </c>
      <c r="F69" s="9"/>
      <c r="H69" s="14"/>
      <c r="I69" s="13"/>
      <c r="J69" s="5"/>
      <c r="K69" s="5"/>
    </row>
    <row r="70" spans="1:11">
      <c r="A70" s="1"/>
      <c r="B70" s="12" t="s">
        <v>132</v>
      </c>
      <c r="C70" s="12" t="s">
        <v>61</v>
      </c>
      <c r="D70" s="15">
        <v>45</v>
      </c>
      <c r="E70" s="8">
        <v>60</v>
      </c>
      <c r="F70" s="9"/>
      <c r="H70" s="14"/>
      <c r="I70" s="13"/>
      <c r="J70" s="5"/>
      <c r="K70" s="5"/>
    </row>
    <row r="71" spans="1:11">
      <c r="A71" s="1"/>
      <c r="B71" s="12" t="s">
        <v>133</v>
      </c>
      <c r="C71" s="12" t="s">
        <v>61</v>
      </c>
      <c r="D71" s="15">
        <v>600</v>
      </c>
      <c r="E71" s="8">
        <v>850</v>
      </c>
      <c r="F71" s="9"/>
      <c r="H71" s="14"/>
      <c r="I71" s="13"/>
      <c r="J71" s="5"/>
      <c r="K71" s="5"/>
    </row>
    <row r="72" spans="1:11">
      <c r="A72" s="1"/>
      <c r="B72" s="12" t="s">
        <v>134</v>
      </c>
      <c r="C72" s="12" t="s">
        <v>61</v>
      </c>
      <c r="D72" s="15">
        <v>450</v>
      </c>
      <c r="E72" s="8">
        <v>640</v>
      </c>
      <c r="F72" s="9"/>
      <c r="H72" s="14"/>
      <c r="I72" s="13"/>
      <c r="J72" s="5"/>
      <c r="K72" s="5"/>
    </row>
    <row r="73" spans="1:11">
      <c r="A73" s="1"/>
      <c r="B73" s="12" t="s">
        <v>135</v>
      </c>
      <c r="C73" s="12" t="s">
        <v>61</v>
      </c>
      <c r="D73" s="15">
        <v>275</v>
      </c>
      <c r="E73" s="8">
        <v>390</v>
      </c>
      <c r="F73" s="9"/>
      <c r="H73" s="14"/>
      <c r="I73" s="13"/>
      <c r="J73" s="5"/>
      <c r="K73" s="5"/>
    </row>
    <row r="74" spans="1:11">
      <c r="A74" s="1"/>
      <c r="B74" s="12" t="s">
        <v>136</v>
      </c>
      <c r="C74" s="12" t="s">
        <v>61</v>
      </c>
      <c r="D74" s="15">
        <v>100</v>
      </c>
      <c r="E74" s="8">
        <v>145</v>
      </c>
      <c r="F74" s="9"/>
      <c r="H74" s="14"/>
      <c r="I74" s="13"/>
      <c r="J74" s="5"/>
      <c r="K74" s="5"/>
    </row>
    <row r="75" spans="1:11">
      <c r="A75" s="1"/>
      <c r="B75" s="12"/>
      <c r="C75" s="12"/>
      <c r="D75" s="15"/>
      <c r="E75" s="8"/>
      <c r="F75" s="9"/>
      <c r="H75" s="14"/>
      <c r="I75" s="13"/>
      <c r="J75" s="5"/>
      <c r="K75" s="5"/>
    </row>
    <row r="76" spans="1:11">
      <c r="A76" s="1"/>
      <c r="B76" s="12"/>
      <c r="C76" s="12"/>
      <c r="D76" s="15"/>
      <c r="E76" s="8"/>
      <c r="F76" s="9"/>
      <c r="H76" s="14"/>
      <c r="I76" s="13"/>
      <c r="J76" s="5"/>
      <c r="K76" s="5"/>
    </row>
    <row r="77" spans="1:11">
      <c r="A77" s="1"/>
      <c r="B77" s="12"/>
      <c r="C77" s="12"/>
      <c r="D77" s="15"/>
      <c r="E77" s="8"/>
      <c r="F77" s="9"/>
      <c r="H77" s="14"/>
      <c r="I77" s="13"/>
      <c r="J77" s="5"/>
      <c r="K77" s="5"/>
    </row>
    <row r="78" ht="15.75" spans="1:11">
      <c r="A78" s="1"/>
      <c r="B78" s="7" t="s">
        <v>137</v>
      </c>
      <c r="C78" s="12"/>
      <c r="D78" s="15"/>
      <c r="E78" s="8"/>
      <c r="F78" s="9"/>
      <c r="H78" s="14"/>
      <c r="I78" s="13"/>
      <c r="J78" s="5"/>
      <c r="K78" s="5"/>
    </row>
    <row r="79" spans="1:11">
      <c r="A79" s="1"/>
      <c r="B79" s="12" t="s">
        <v>138</v>
      </c>
      <c r="C79" s="12" t="s">
        <v>61</v>
      </c>
      <c r="D79" s="8">
        <v>100</v>
      </c>
      <c r="E79" s="8">
        <v>140</v>
      </c>
      <c r="F79" s="9"/>
      <c r="H79" s="14"/>
      <c r="I79" s="13"/>
      <c r="J79" s="5"/>
      <c r="K79" s="5"/>
    </row>
    <row r="80" spans="1:11">
      <c r="A80" s="1"/>
      <c r="B80" s="12" t="s">
        <v>139</v>
      </c>
      <c r="C80" s="12" t="s">
        <v>61</v>
      </c>
      <c r="D80" s="8">
        <v>140</v>
      </c>
      <c r="E80" s="8">
        <v>195</v>
      </c>
      <c r="F80" s="9"/>
      <c r="H80" s="14"/>
      <c r="I80" s="13"/>
      <c r="J80" s="5"/>
      <c r="K80" s="5"/>
    </row>
    <row r="81" spans="1:11">
      <c r="A81" s="1"/>
      <c r="B81" s="12" t="s">
        <v>140</v>
      </c>
      <c r="C81" s="12" t="s">
        <v>61</v>
      </c>
      <c r="D81" s="8"/>
      <c r="E81" s="8">
        <v>50</v>
      </c>
      <c r="F81" s="9"/>
      <c r="H81" s="14"/>
      <c r="I81" s="13"/>
      <c r="J81" s="5"/>
      <c r="K81" s="5"/>
    </row>
    <row r="82" spans="1:11">
      <c r="A82" s="1"/>
      <c r="B82" s="12" t="s">
        <v>141</v>
      </c>
      <c r="C82" s="12" t="s">
        <v>61</v>
      </c>
      <c r="D82" s="8"/>
      <c r="E82" s="8">
        <v>200</v>
      </c>
      <c r="F82" s="9"/>
      <c r="H82" s="14"/>
      <c r="I82" s="13"/>
      <c r="J82" s="5"/>
      <c r="K82" s="5"/>
    </row>
    <row r="83" spans="1:11">
      <c r="A83" s="1"/>
      <c r="B83" s="12" t="s">
        <v>142</v>
      </c>
      <c r="C83" s="12" t="s">
        <v>61</v>
      </c>
      <c r="D83" s="15">
        <v>140</v>
      </c>
      <c r="E83" s="8">
        <v>180</v>
      </c>
      <c r="F83" s="9"/>
      <c r="H83" s="14"/>
      <c r="I83" s="13"/>
      <c r="J83" s="5"/>
      <c r="K83" s="5"/>
    </row>
    <row r="84" spans="1:11">
      <c r="A84" s="1"/>
      <c r="B84" s="12" t="s">
        <v>143</v>
      </c>
      <c r="C84" s="12" t="s">
        <v>61</v>
      </c>
      <c r="D84" s="15">
        <v>75</v>
      </c>
      <c r="E84" s="8">
        <v>110</v>
      </c>
      <c r="F84" s="9"/>
      <c r="H84" s="14"/>
      <c r="I84" s="13"/>
      <c r="J84" s="5"/>
      <c r="K84" s="5"/>
    </row>
    <row r="85" spans="1:11">
      <c r="A85" s="1"/>
      <c r="B85" s="12" t="s">
        <v>144</v>
      </c>
      <c r="C85" s="12" t="s">
        <v>61</v>
      </c>
      <c r="D85" s="15">
        <v>90</v>
      </c>
      <c r="E85" s="8">
        <v>130</v>
      </c>
      <c r="F85" s="9"/>
      <c r="H85" s="14"/>
      <c r="I85" s="13"/>
      <c r="J85" s="5"/>
      <c r="K85" s="5"/>
    </row>
    <row r="86" spans="1:11">
      <c r="A86" s="1"/>
      <c r="B86" s="12" t="s">
        <v>145</v>
      </c>
      <c r="C86" s="12" t="s">
        <v>61</v>
      </c>
      <c r="D86" s="15">
        <v>45</v>
      </c>
      <c r="E86" s="8">
        <v>65</v>
      </c>
      <c r="F86" s="9"/>
      <c r="H86" s="14"/>
      <c r="I86" s="13"/>
      <c r="J86" s="5"/>
      <c r="K86" s="5"/>
    </row>
    <row r="87" spans="1:11">
      <c r="A87" s="1"/>
      <c r="B87" s="12" t="s">
        <v>146</v>
      </c>
      <c r="C87" s="12" t="s">
        <v>61</v>
      </c>
      <c r="D87" s="15"/>
      <c r="E87" s="8"/>
      <c r="F87" s="9"/>
      <c r="H87" s="14"/>
      <c r="I87" s="13"/>
      <c r="J87" s="5"/>
      <c r="K87" s="5"/>
    </row>
    <row r="88" spans="1:11">
      <c r="A88" s="1"/>
      <c r="B88" s="12" t="s">
        <v>147</v>
      </c>
      <c r="C88" s="12" t="s">
        <v>61</v>
      </c>
      <c r="D88" s="15">
        <v>40</v>
      </c>
      <c r="E88" s="8">
        <v>55</v>
      </c>
      <c r="F88" s="9"/>
      <c r="H88" s="14"/>
      <c r="I88" s="13"/>
      <c r="J88" s="5"/>
      <c r="K88" s="5"/>
    </row>
    <row r="89" spans="1:11">
      <c r="A89" s="1"/>
      <c r="B89" s="12" t="s">
        <v>148</v>
      </c>
      <c r="C89" s="12" t="s">
        <v>61</v>
      </c>
      <c r="D89" s="15">
        <v>45</v>
      </c>
      <c r="E89" s="8">
        <v>65</v>
      </c>
      <c r="F89" s="9"/>
      <c r="H89" s="14"/>
      <c r="I89" s="13"/>
      <c r="J89" s="5"/>
      <c r="K89" s="5"/>
    </row>
    <row r="90" spans="1:11">
      <c r="A90" s="1"/>
      <c r="B90" s="12"/>
      <c r="C90" s="12"/>
      <c r="D90" s="15"/>
      <c r="E90" s="8"/>
      <c r="F90" s="9"/>
      <c r="H90" s="14"/>
      <c r="I90" s="13"/>
      <c r="J90" s="5"/>
      <c r="K90" s="5"/>
    </row>
  </sheetData>
  <mergeCells count="2">
    <mergeCell ref="B1:F1"/>
    <mergeCell ref="D2:E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PUBLIC</vt:lpstr>
      <vt:lpstr>PRIVATE</vt:lpstr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Leka H Bonoro</dc:creator>
  <cp:lastModifiedBy>Leka Heve Bonoro</cp:lastModifiedBy>
  <dcterms:created xsi:type="dcterms:W3CDTF">2000-07-27T22:17:00Z</dcterms:created>
  <cp:lastPrinted>2024-03-05T08:21:00Z</cp:lastPrinted>
  <dcterms:modified xsi:type="dcterms:W3CDTF">2026-04-05T12:46:27Z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TC011059881033</vt:lpwstr>
  </property>
  <property fmtid="{D5CDD505-2E9C-101B-9397-08002B2CF9AE}" pid="3" name="ICV">
    <vt:lpwstr>9A29BA982C074607A51CA113D9C22366_13</vt:lpwstr>
  </property>
  <property fmtid="{D5CDD505-2E9C-101B-9397-08002B2CF9AE}" pid="4" name="KSOProductBuildVer">
    <vt:lpwstr>1033-12.1.0.25242</vt:lpwstr>
  </property>
  <property fmtid="{D5CDD505-2E9C-101B-9397-08002B2CF9AE}" pid="5" name="CalculationRule">
    <vt:i4>0</vt:i4>
  </property>
</Properties>
</file>
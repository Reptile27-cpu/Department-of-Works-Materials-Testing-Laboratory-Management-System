
<file path=[Content_Types].xml><?xml version="1.0" encoding="utf-8"?>
<Types xmlns="http://schemas.openxmlformats.org/package/2006/content-types">
  <Default Extension="wmf" ContentType="image/x-wmf"/>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Sheet1" sheetId="1" r:id="rId1"/>
    <sheet name="Sheet2" sheetId="2" r:id="rId2"/>
    <sheet name="Sheet3" sheetId="3" r:id="rId3"/>
  </sheets>
  <definedNames>
    <definedName name="_xlnm.Print_Area" localSheetId="0">Sheet1!$A$1:$K$59</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<sst xmlns="http://schemas.openxmlformats.org/spreadsheetml/2006/main" count="41" uniqueCount="41">
  <si>
    <t>REPORT No.</t>
  </si>
  <si>
    <t>22P-063</t>
  </si>
  <si>
    <t>File No.</t>
  </si>
  <si>
    <t>42-60-C-01</t>
  </si>
  <si>
    <t>Page 1 of 2</t>
  </si>
  <si>
    <t>DYNAMIC CONE PENETROMETER TEST REPORT</t>
  </si>
  <si>
    <t xml:space="preserve">CLIENT: </t>
  </si>
  <si>
    <t>TEST PIT / BH No. 1</t>
  </si>
  <si>
    <t>PROJECT:</t>
  </si>
  <si>
    <t>DEPTH:</t>
  </si>
  <si>
    <t>0.0m - 3.0m</t>
  </si>
  <si>
    <t>LOCATION:</t>
  </si>
  <si>
    <t>TESTED BY: J.N</t>
  </si>
  <si>
    <r>
      <rPr>
        <sz val="10"/>
        <rFont val="Arial"/>
        <charset val="134"/>
      </rPr>
      <t>MATERIAL DESCRIPTION:</t>
    </r>
    <r>
      <rPr>
        <b/>
        <sz val="10"/>
        <rFont val="Arial"/>
        <charset val="134"/>
      </rPr>
      <t xml:space="preserve"> INSITU MATERIAL</t>
    </r>
  </si>
  <si>
    <t>DATE TESTED : 09-04-22</t>
  </si>
  <si>
    <t xml:space="preserve">TEST METHODS:  AS1289  6.3.2 </t>
  </si>
  <si>
    <t>DATE REPORTED: 12-04-22</t>
  </si>
  <si>
    <t xml:space="preserve">Test No: 1 </t>
  </si>
  <si>
    <t>Depth</t>
  </si>
  <si>
    <t>Field Data</t>
  </si>
  <si>
    <t>e' Value</t>
  </si>
  <si>
    <t>CBR Value</t>
  </si>
  <si>
    <t>Soil Bearing</t>
  </si>
  <si>
    <t>(m)</t>
  </si>
  <si>
    <t>(Blw/100mm)</t>
  </si>
  <si>
    <t>mm/blow</t>
  </si>
  <si>
    <t>Capacity</t>
  </si>
  <si>
    <t>%</t>
  </si>
  <si>
    <t>kPa</t>
  </si>
  <si>
    <t xml:space="preserve">    </t>
  </si>
  <si>
    <t>Remarks / Sketch</t>
  </si>
  <si>
    <t>QR / BAR</t>
  </si>
  <si>
    <t>CODE HERE</t>
  </si>
  <si>
    <t>Approved Signatory:</t>
  </si>
  <si>
    <t>Date: 12-04-2022</t>
  </si>
  <si>
    <t>Revised Report : 12-04-2022 lhb</t>
  </si>
  <si>
    <t>Authorised by: AS(MS)T</t>
  </si>
  <si>
    <t>Form No. STR-4</t>
  </si>
  <si>
    <t>NO. OF BLOWS</t>
  </si>
  <si>
    <t>ALLOWABLE LOAD</t>
  </si>
  <si>
    <t>(kPa)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</si>
</sst>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4">
    <font>
      <sz val="10"/>
      <name val="Arial"/>
      <charset val="134"/>
    </font>
    <font>
      <b/>
      <sz val="16"/>
      <color rgb="FF00B050"/>
      <name val="Calibri"/>
      <charset val="134"/>
    </font>
    <font>
      <b/>
      <sz val="14"/>
      <name val="Maiandra GD"/>
      <charset val="134"/>
    </font>
    <font>
      <sz val="10"/>
      <name val="Arial"/>
      <charset val="134"/>
    </font>
    <font>
      <b/>
      <sz val="10"/>
      <name val="Arial"/>
      <charset val="134"/>
    </font>
    <font>
      <b/>
      <sz val="11"/>
      <name val="Arial"/>
      <charset val="134"/>
    </font>
    <font>
      <sz val="11"/>
      <color rgb="FFFFFFFF"/>
      <name val="Calibri"/>
      <charset val="134"/>
    </font>
    <font>
      <sz val="12"/>
      <name val="Arial"/>
      <charset val="134"/>
    </font>
    <font>
      <b/>
      <sz val="10"/>
      <name val="Arial"/>
      <charset val="134"/>
    </font>
    <font>
      <sz val="8"/>
      <color rgb="FF0000FF"/>
      <name val="Arial"/>
      <charset val="134"/>
    </font>
    <font>
      <sz val="8"/>
      <name val="Arial"/>
      <charset val="134"/>
    </font>
    <font>
      <b/>
      <sz val="12"/>
      <name val="Arial"/>
      <charset val="134"/>
    </font>
    <font>
      <b/>
      <sz val="8"/>
      <color rgb="FF0000FF"/>
      <name val="Arial"/>
      <charset val="134"/>
    </font>
    <font>
      <b/>
      <sz val="8"/>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top/>
      <bottom style="dashed">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medium">
        <color auto="1"/>
      </top>
      <bottom/>
      <diagonal/>
    </border>
    <border>
      <left/>
      <right style="medium">
        <color auto="1"/>
      </right>
      <top/>
      <bottom style="thin">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4" borderId="44"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5" applyNumberFormat="0" applyFill="0" applyAlignment="0" applyProtection="0">
      <alignment vertical="center"/>
    </xf>
    <xf numFmtId="0" fontId="21" fillId="0" borderId="45" applyNumberFormat="0" applyFill="0" applyAlignment="0" applyProtection="0">
      <alignment vertical="center"/>
    </xf>
    <xf numFmtId="0" fontId="22" fillId="0" borderId="46" applyNumberFormat="0" applyFill="0" applyAlignment="0" applyProtection="0">
      <alignment vertical="center"/>
    </xf>
    <xf numFmtId="0" fontId="22" fillId="0" borderId="0" applyNumberFormat="0" applyFill="0" applyBorder="0" applyAlignment="0" applyProtection="0">
      <alignment vertical="center"/>
    </xf>
    <xf numFmtId="0" fontId="23" fillId="5" borderId="47" applyNumberFormat="0" applyAlignment="0" applyProtection="0">
      <alignment vertical="center"/>
    </xf>
    <xf numFmtId="0" fontId="24" fillId="6" borderId="48" applyNumberFormat="0" applyAlignment="0" applyProtection="0">
      <alignment vertical="center"/>
    </xf>
    <xf numFmtId="0" fontId="25" fillId="6" borderId="47" applyNumberFormat="0" applyAlignment="0" applyProtection="0">
      <alignment vertical="center"/>
    </xf>
    <xf numFmtId="0" fontId="26" fillId="7" borderId="49" applyNumberFormat="0" applyAlignment="0" applyProtection="0">
      <alignment vertical="center"/>
    </xf>
    <xf numFmtId="0" fontId="27" fillId="0" borderId="50" applyNumberFormat="0" applyFill="0" applyAlignment="0" applyProtection="0">
      <alignment vertical="center"/>
    </xf>
    <xf numFmtId="0" fontId="28" fillId="0" borderId="51"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cellStyleXfs>
  <cellXfs count="96">
    <xf numFmtId="0" fontId="0" fillId="0" borderId="0" xfId="0"/>
    <xf numFmtId="0" fontId="1" fillId="0" borderId="1" xfId="0" applyFont="1" applyBorder="1"/>
    <xf numFmtId="0" fontId="0" fillId="0" borderId="2" xfId="0" applyBorder="1"/>
    <xf numFmtId="0" fontId="0" fillId="0" borderId="3" xfId="0" applyBorder="1"/>
    <xf numFmtId="0" fontId="0" fillId="0" borderId="0" xfId="0" applyBorder="1"/>
    <xf numFmtId="0" fontId="2" fillId="2" borderId="4" xfId="0" applyFont="1" applyFill="1" applyBorder="1" applyAlignment="1">
      <alignment horizontal="center"/>
    </xf>
    <xf numFmtId="0" fontId="2" fillId="2" borderId="5" xfId="0" applyFont="1" applyFill="1" applyBorder="1" applyAlignment="1">
      <alignment horizontal="center"/>
    </xf>
    <xf numFmtId="0" fontId="3" fillId="2" borderId="3" xfId="0" applyFont="1" applyFill="1" applyBorder="1"/>
    <xf numFmtId="0" fontId="3" fillId="2" borderId="0" xfId="0" applyFont="1" applyFill="1" applyBorder="1"/>
    <xf numFmtId="0" fontId="4" fillId="2" borderId="0" xfId="0" applyFont="1" applyFill="1" applyBorder="1"/>
    <xf numFmtId="0" fontId="3" fillId="2" borderId="6" xfId="0" applyFont="1" applyFill="1" applyBorder="1"/>
    <xf numFmtId="0" fontId="4" fillId="2" borderId="0" xfId="0" applyFont="1" applyFill="1" applyBorder="1" applyAlignment="1"/>
    <xf numFmtId="0" fontId="5" fillId="2" borderId="0" xfId="0" applyFont="1" applyFill="1" applyBorder="1" applyAlignment="1"/>
    <xf numFmtId="0" fontId="3" fillId="2" borderId="7" xfId="0" applyFont="1" applyFill="1" applyBorder="1"/>
    <xf numFmtId="0" fontId="3" fillId="2" borderId="8" xfId="0" applyFont="1" applyFill="1" applyBorder="1"/>
    <xf numFmtId="0" fontId="0" fillId="0" borderId="1" xfId="0" applyBorder="1"/>
    <xf numFmtId="0" fontId="4" fillId="2" borderId="3" xfId="0" applyFont="1" applyFill="1" applyBorder="1"/>
    <xf numFmtId="0" fontId="4" fillId="0" borderId="0" xfId="0" applyFont="1"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xf numFmtId="0" fontId="0" fillId="0" borderId="12" xfId="0" applyBorder="1"/>
    <xf numFmtId="0" fontId="0" fillId="0" borderId="0"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4" xfId="0" applyFill="1" applyBorder="1" applyAlignment="1">
      <alignment horizontal="center"/>
    </xf>
    <xf numFmtId="0" fontId="0" fillId="0" borderId="15" xfId="0" applyBorder="1"/>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8"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78" fontId="0" fillId="0" borderId="21" xfId="0" applyNumberFormat="1" applyFill="1" applyBorder="1" applyAlignment="1">
      <alignment horizontal="center"/>
    </xf>
    <xf numFmtId="0" fontId="3" fillId="0" borderId="22" xfId="0" applyFont="1" applyFill="1" applyBorder="1" applyAlignment="1">
      <alignment horizontal="center"/>
    </xf>
    <xf numFmtId="2" fontId="0" fillId="0" borderId="22" xfId="0" applyNumberFormat="1" applyFill="1" applyBorder="1" applyAlignment="1">
      <alignment horizontal="center"/>
    </xf>
    <xf numFmtId="1" fontId="0" fillId="0" borderId="23" xfId="0" applyNumberFormat="1" applyFill="1" applyBorder="1" applyAlignment="1">
      <alignment horizontal="center"/>
    </xf>
    <xf numFmtId="1" fontId="0" fillId="0" borderId="24" xfId="0" applyNumberFormat="1" applyFill="1" applyBorder="1" applyAlignment="1">
      <alignment horizontal="center"/>
    </xf>
    <xf numFmtId="0" fontId="0" fillId="0" borderId="0" xfId="0" applyFill="1" applyBorder="1" applyAlignment="1">
      <alignment horizontal="center"/>
    </xf>
    <xf numFmtId="1" fontId="0" fillId="0" borderId="22" xfId="0" applyNumberFormat="1" applyFill="1" applyBorder="1" applyAlignment="1">
      <alignment horizontal="center"/>
    </xf>
    <xf numFmtId="178" fontId="0" fillId="0" borderId="21" xfId="0" applyNumberFormat="1" applyBorder="1" applyAlignment="1">
      <alignment horizontal="center"/>
    </xf>
    <xf numFmtId="0" fontId="3" fillId="0" borderId="0" xfId="0" applyFont="1" applyBorder="1" applyAlignment="1">
      <alignment horizontal="center"/>
    </xf>
    <xf numFmtId="0" fontId="0" fillId="0" borderId="22" xfId="0" applyFill="1" applyBorder="1" applyAlignment="1">
      <alignment horizontal="center"/>
    </xf>
    <xf numFmtId="178" fontId="0" fillId="0" borderId="0" xfId="0" applyNumberFormat="1" applyBorder="1" applyAlignment="1">
      <alignment horizontal="center"/>
    </xf>
    <xf numFmtId="0" fontId="0" fillId="0" borderId="22" xfId="0" applyBorder="1" applyAlignment="1">
      <alignment horizontal="center"/>
    </xf>
    <xf numFmtId="0" fontId="6" fillId="0" borderId="0" xfId="0" applyFont="1" applyBorder="1"/>
    <xf numFmtId="178" fontId="0" fillId="0" borderId="25" xfId="0" applyNumberFormat="1" applyFill="1" applyBorder="1" applyAlignment="1">
      <alignment horizontal="center"/>
    </xf>
    <xf numFmtId="0" fontId="3" fillId="0" borderId="26" xfId="0" applyFont="1" applyFill="1" applyBorder="1" applyAlignment="1">
      <alignment horizontal="center"/>
    </xf>
    <xf numFmtId="2" fontId="0" fillId="0" borderId="26" xfId="0" applyNumberFormat="1" applyFill="1" applyBorder="1" applyAlignment="1">
      <alignment horizontal="center"/>
    </xf>
    <xf numFmtId="1" fontId="0" fillId="0" borderId="27" xfId="0" applyNumberFormat="1" applyFill="1" applyBorder="1" applyAlignment="1">
      <alignment horizontal="center"/>
    </xf>
    <xf numFmtId="1" fontId="0" fillId="0" borderId="28" xfId="0" applyNumberFormat="1" applyFill="1" applyBorder="1" applyAlignment="1">
      <alignment horizontal="center"/>
    </xf>
    <xf numFmtId="0" fontId="4" fillId="0" borderId="29" xfId="0" applyFont="1" applyFill="1" applyBorder="1"/>
    <xf numFmtId="0" fontId="0" fillId="0" borderId="30" xfId="0" applyBorder="1"/>
    <xf numFmtId="0" fontId="7" fillId="0" borderId="3" xfId="0" applyFont="1" applyBorder="1"/>
    <xf numFmtId="0" fontId="8" fillId="3" borderId="0" xfId="0" applyFont="1" applyFill="1" applyBorder="1"/>
    <xf numFmtId="0" fontId="0" fillId="3" borderId="0" xfId="0" applyFill="1" applyBorder="1"/>
    <xf numFmtId="0" fontId="3" fillId="0" borderId="3" xfId="0" applyFont="1" applyBorder="1"/>
    <xf numFmtId="0" fontId="9" fillId="0" borderId="0" xfId="0" applyFont="1" applyBorder="1" applyAlignment="1">
      <alignment horizontal="left" readingOrder="1"/>
    </xf>
    <xf numFmtId="0" fontId="0" fillId="0" borderId="29" xfId="0" applyBorder="1"/>
    <xf numFmtId="0" fontId="10" fillId="0" borderId="30" xfId="0" applyNumberFormat="1" applyFont="1" applyBorder="1"/>
    <xf numFmtId="0" fontId="0" fillId="0" borderId="31" xfId="0" applyBorder="1"/>
    <xf numFmtId="0" fontId="4" fillId="0" borderId="3" xfId="0" applyFont="1" applyBorder="1"/>
    <xf numFmtId="58" fontId="0" fillId="0" borderId="0" xfId="0" applyNumberFormat="1" applyBorder="1"/>
    <xf numFmtId="0" fontId="10" fillId="0" borderId="32" xfId="0" applyFont="1" applyBorder="1"/>
    <xf numFmtId="0" fontId="0" fillId="0" borderId="33" xfId="0" applyBorder="1"/>
    <xf numFmtId="0" fontId="3" fillId="2" borderId="11" xfId="0" applyFont="1" applyFill="1" applyBorder="1"/>
    <xf numFmtId="0" fontId="3" fillId="2" borderId="34" xfId="0" applyFont="1" applyFill="1" applyBorder="1"/>
    <xf numFmtId="0" fontId="11" fillId="2" borderId="15" xfId="0" applyFont="1" applyFill="1" applyBorder="1"/>
    <xf numFmtId="0" fontId="7" fillId="2" borderId="35" xfId="0" applyFont="1" applyFill="1" applyBorder="1"/>
    <xf numFmtId="0" fontId="7" fillId="2" borderId="0" xfId="0" applyFont="1" applyFill="1" applyBorder="1"/>
    <xf numFmtId="0" fontId="4" fillId="2" borderId="36" xfId="0" applyFont="1" applyFill="1" applyBorder="1"/>
    <xf numFmtId="0" fontId="3" fillId="2" borderId="37" xfId="0" applyFont="1" applyFill="1" applyBorder="1"/>
    <xf numFmtId="0" fontId="4" fillId="2" borderId="38" xfId="0" applyFont="1" applyFill="1" applyBorder="1"/>
    <xf numFmtId="0" fontId="3" fillId="2" borderId="39" xfId="0" applyFont="1" applyFill="1" applyBorder="1"/>
    <xf numFmtId="0" fontId="4" fillId="2" borderId="28" xfId="0" applyFont="1" applyFill="1" applyBorder="1"/>
    <xf numFmtId="0" fontId="2" fillId="2" borderId="40" xfId="0" applyFont="1" applyFill="1" applyBorder="1" applyAlignment="1">
      <alignment horizontal="center"/>
    </xf>
    <xf numFmtId="0" fontId="2" fillId="2" borderId="0" xfId="0" applyFont="1" applyFill="1" applyBorder="1" applyAlignment="1"/>
    <xf numFmtId="0" fontId="0" fillId="0" borderId="39" xfId="0" applyBorder="1"/>
    <xf numFmtId="0" fontId="3" fillId="2" borderId="0" xfId="0" applyFont="1" applyFill="1" applyBorder="1" applyAlignment="1">
      <alignment horizontal="left"/>
    </xf>
    <xf numFmtId="58" fontId="7" fillId="2" borderId="0" xfId="0" applyNumberFormat="1" applyFont="1" applyFill="1" applyBorder="1" applyAlignment="1">
      <alignment horizontal="center"/>
    </xf>
    <xf numFmtId="0" fontId="0" fillId="0" borderId="41" xfId="0" applyBorder="1"/>
    <xf numFmtId="0" fontId="0" fillId="0" borderId="34" xfId="0" applyBorder="1"/>
    <xf numFmtId="0" fontId="0" fillId="0" borderId="39" xfId="0" applyBorder="1" applyAlignment="1">
      <alignment horizontal="center"/>
    </xf>
    <xf numFmtId="2" fontId="0" fillId="0" borderId="0" xfId="0" applyNumberFormat="1" applyFill="1" applyBorder="1" applyAlignment="1">
      <alignment horizontal="center"/>
    </xf>
    <xf numFmtId="1" fontId="0" fillId="0" borderId="0" xfId="0" applyNumberFormat="1" applyFill="1" applyBorder="1" applyAlignment="1">
      <alignment horizontal="center"/>
    </xf>
    <xf numFmtId="0" fontId="3" fillId="0" borderId="39" xfId="0" applyFont="1" applyBorder="1" applyAlignment="1">
      <alignment horizontal="center"/>
    </xf>
    <xf numFmtId="2" fontId="0" fillId="0" borderId="0" xfId="0" applyNumberFormat="1" applyBorder="1" applyAlignment="1">
      <alignment horizontal="center"/>
    </xf>
    <xf numFmtId="1" fontId="0" fillId="0" borderId="0" xfId="0" applyNumberFormat="1" applyBorder="1" applyAlignment="1">
      <alignment horizontal="center"/>
    </xf>
    <xf numFmtId="0" fontId="12" fillId="0" borderId="0" xfId="0" applyFont="1" applyBorder="1" applyAlignment="1">
      <alignment horizontal="left" readingOrder="1"/>
    </xf>
    <xf numFmtId="0" fontId="12" fillId="0" borderId="0" xfId="0" applyFont="1" applyAlignment="1">
      <alignment horizontal="left" readingOrder="1"/>
    </xf>
    <xf numFmtId="0" fontId="9" fillId="0" borderId="0" xfId="0" applyFont="1" applyAlignment="1">
      <alignment horizontal="left" readingOrder="1"/>
    </xf>
    <xf numFmtId="0" fontId="0" fillId="0" borderId="35" xfId="0" applyBorder="1"/>
    <xf numFmtId="0" fontId="0" fillId="0" borderId="38" xfId="0" applyBorder="1"/>
    <xf numFmtId="0" fontId="13" fillId="0" borderId="38" xfId="0" applyFont="1" applyBorder="1"/>
    <xf numFmtId="0" fontId="13" fillId="0" borderId="42" xfId="0" applyFont="1" applyBorder="1"/>
    <xf numFmtId="0" fontId="0" fillId="0" borderId="43" xfId="0" applyBorder="1"/>
    <xf numFmtId="0" fontId="0" fillId="0" borderId="10" xfId="0"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400" b="1" i="0" u="none" strike="noStrike" kern="1200" baseline="0">
                <a:solidFill>
                  <a:srgbClr val="000000"/>
                </a:solidFill>
                <a:latin typeface="Calibri" panose="020F0502020204030204"/>
                <a:ea typeface="Calibri" panose="020F0502020204030204"/>
                <a:cs typeface="Calibri" panose="020F0502020204030204"/>
              </a:defRPr>
            </a:pPr>
            <a:r>
              <a:rPr lang="en-AU"/>
              <a:t>CBR vs Depth </a:t>
            </a:r>
            <a:endParaRPr lang="en-AU"/>
          </a:p>
        </c:rich>
      </c:tx>
      <c:layout/>
      <c:overlay val="0"/>
    </c:title>
    <c:autoTitleDeleted val="0"/>
    <c:plotArea>
      <c:layout/>
      <c:lineChart>
        <c:grouping val="standard"/>
        <c:varyColors val="0"/>
        <c:ser>
          <c:idx val="3"/>
          <c:order val="0"/>
          <c:dLbls>
            <c:delete val="1"/>
          </c:dLbls>
          <c:cat>
            <c:numRef>
              <c:f>Sheet1!$A$18:$A$47</c:f>
              <c:numCache>
                <c:formatCode>0.0</c:formatCode>
                <c:ptCount val="30"/>
                <c:pt idx="0" c:formatCode="0.0">
                  <c:v>0.1</c:v>
                </c:pt>
                <c:pt idx="1" c:formatCode="0.0">
                  <c:v>0.2</c:v>
                </c:pt>
                <c:pt idx="2" c:formatCode="0.0">
                  <c:v>0.3</c:v>
                </c:pt>
                <c:pt idx="3" c:formatCode="0.0">
                  <c:v>0.4</c:v>
                </c:pt>
                <c:pt idx="4" c:formatCode="0.0">
                  <c:v>0.5</c:v>
                </c:pt>
                <c:pt idx="5" c:formatCode="0.0">
                  <c:v>0.6</c:v>
                </c:pt>
                <c:pt idx="6" c:formatCode="0.0">
                  <c:v>0.7</c:v>
                </c:pt>
                <c:pt idx="7" c:formatCode="0.0">
                  <c:v>0.8</c:v>
                </c:pt>
                <c:pt idx="8" c:formatCode="0.0">
                  <c:v>0.9</c:v>
                </c:pt>
                <c:pt idx="9" c:formatCode="0.0">
                  <c:v>1</c:v>
                </c:pt>
                <c:pt idx="10" c:formatCode="0.0">
                  <c:v>1.1</c:v>
                </c:pt>
                <c:pt idx="11" c:formatCode="0.0">
                  <c:v>1.2</c:v>
                </c:pt>
                <c:pt idx="12" c:formatCode="0.0">
                  <c:v>1.3</c:v>
                </c:pt>
                <c:pt idx="13" c:formatCode="0.0">
                  <c:v>1.4</c:v>
                </c:pt>
                <c:pt idx="14" c:formatCode="0.0">
                  <c:v>1.5</c:v>
                </c:pt>
                <c:pt idx="15" c:formatCode="0.0">
                  <c:v>1.6</c:v>
                </c:pt>
                <c:pt idx="16" c:formatCode="0.0">
                  <c:v>1.7</c:v>
                </c:pt>
                <c:pt idx="17" c:formatCode="0.0">
                  <c:v>1.8</c:v>
                </c:pt>
                <c:pt idx="18" c:formatCode="0.0">
                  <c:v>1.9</c:v>
                </c:pt>
                <c:pt idx="19" c:formatCode="0.0">
                  <c:v>2</c:v>
                </c:pt>
                <c:pt idx="20" c:formatCode="0.0">
                  <c:v>2.1</c:v>
                </c:pt>
                <c:pt idx="21" c:formatCode="0.0">
                  <c:v>2.2</c:v>
                </c:pt>
                <c:pt idx="22" c:formatCode="0.0">
                  <c:v>2.3</c:v>
                </c:pt>
                <c:pt idx="23" c:formatCode="0.0">
                  <c:v>2.4</c:v>
                </c:pt>
                <c:pt idx="24" c:formatCode="0.0">
                  <c:v>2.5</c:v>
                </c:pt>
                <c:pt idx="25" c:formatCode="0.0">
                  <c:v>2.6</c:v>
                </c:pt>
                <c:pt idx="26" c:formatCode="0.0">
                  <c:v>2.7</c:v>
                </c:pt>
                <c:pt idx="27" c:formatCode="0.0">
                  <c:v>2.8</c:v>
                </c:pt>
                <c:pt idx="28" c:formatCode="0.0">
                  <c:v>2.9</c:v>
                </c:pt>
                <c:pt idx="29" c:formatCode="0.0">
                  <c:v>3</c:v>
                </c:pt>
              </c:numCache>
            </c:numRef>
          </c:cat>
          <c:val>
            <c:numRef>
              <c:f>Sheet1!$D$18:$D$47</c:f>
              <c:numCache>
                <c:formatCode>0</c:formatCode>
                <c:ptCount val="30"/>
                <c:pt idx="0">
                  <c:v>8.25974020337502</c:v>
                </c:pt>
                <c:pt idx="1">
                  <c:v>18.4901816446242</c:v>
                </c:pt>
                <c:pt idx="2">
                  <c:v>11.3898185712252</c:v>
                </c:pt>
                <c:pt idx="3">
                  <c:v>3.04427018116439</c:v>
                </c:pt>
                <c:pt idx="4">
                  <c:v>3.04427018116439</c:v>
                </c:pt>
                <c:pt idx="5">
                  <c:v>3.04427018116439</c:v>
                </c:pt>
                <c:pt idx="6">
                  <c:v>1.12201845430196</c:v>
                </c:pt>
                <c:pt idx="7">
                  <c:v>3.04427018116439</c:v>
                </c:pt>
                <c:pt idx="8">
                  <c:v>1.12201845430196</c:v>
                </c:pt>
                <c:pt idx="9">
                  <c:v>3.04427018116439</c:v>
                </c:pt>
                <c:pt idx="10">
                  <c:v>1.12201845430196</c:v>
                </c:pt>
                <c:pt idx="11">
                  <c:v>3.04427018116439</c:v>
                </c:pt>
                <c:pt idx="12">
                  <c:v>1.12201845430196</c:v>
                </c:pt>
                <c:pt idx="13">
                  <c:v>1.12201845430196</c:v>
                </c:pt>
                <c:pt idx="14">
                  <c:v>3.04427018116439</c:v>
                </c:pt>
                <c:pt idx="15">
                  <c:v>3.04427018116439</c:v>
                </c:pt>
                <c:pt idx="16">
                  <c:v>3.04427018116439</c:v>
                </c:pt>
                <c:pt idx="17">
                  <c:v>5.45826487249989</c:v>
                </c:pt>
                <c:pt idx="18">
                  <c:v>8.25974020337502</c:v>
                </c:pt>
                <c:pt idx="19">
                  <c:v>14.8094114927779</c:v>
                </c:pt>
                <c:pt idx="20">
                  <c:v>22.4103986069841</c:v>
                </c:pt>
                <c:pt idx="21">
                  <c:v>35.4491206559746</c:v>
                </c:pt>
                <c:pt idx="22">
                  <c:v>35.4491206559746</c:v>
                </c:pt>
                <c:pt idx="23">
                  <c:v>45.0898122889768</c:v>
                </c:pt>
                <c:pt idx="24">
                  <c:v>60.8040874601239</c:v>
                </c:pt>
                <c:pt idx="25">
                  <c:v>55.4078646149738</c:v>
                </c:pt>
                <c:pt idx="26">
                  <c:v>50.1677208687816</c:v>
                </c:pt>
                <c:pt idx="27">
                  <c:v>72.0431025207288</c:v>
                </c:pt>
                <c:pt idx="28">
                  <c:v>77.8762777477969</c:v>
                </c:pt>
                <c:pt idx="29">
                  <c:v>89.9488850384216</c:v>
                </c:pt>
              </c:numCache>
            </c:numRef>
          </c:val>
          <c:smooth val="0"/>
        </c:ser>
        <c:dLbls>
          <c:showLegendKey val="0"/>
          <c:showVal val="0"/>
          <c:showCatName val="0"/>
          <c:showSerName val="0"/>
          <c:showPercent val="0"/>
          <c:showBubbleSize val="0"/>
        </c:dLbls>
        <c:marker val="1"/>
        <c:smooth val="0"/>
        <c:axId val="94888320"/>
        <c:axId val="94890624"/>
      </c:lineChart>
      <c:catAx>
        <c:axId val="9488832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AU"/>
                  <a:t>Depth (m)</a:t>
                </a:r>
                <a:endParaRPr lang="en-AU"/>
              </a:p>
            </c:rich>
          </c:tx>
          <c:layout/>
          <c:overlay val="0"/>
        </c:title>
        <c:numFmt formatCode="0.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94890624"/>
        <c:crosses val="autoZero"/>
        <c:auto val="1"/>
        <c:lblAlgn val="ctr"/>
        <c:lblOffset val="100"/>
        <c:noMultiLvlLbl val="0"/>
      </c:catAx>
      <c:valAx>
        <c:axId val="94890624"/>
        <c:scaling>
          <c:orientation val="minMax"/>
        </c:scaling>
        <c:delete val="0"/>
        <c:axPos val="l"/>
        <c:minorGridlines/>
        <c:title>
          <c:tx>
            <c:rich>
              <a:bodyPr rot="-5400000" spcFirstLastPara="0" vertOverflow="ellipsis" vert="horz" wrap="square" anchor="ctr" anchorCtr="1"/>
              <a:lstStyle/>
              <a:p>
                <a:pP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AU"/>
                  <a:t>CBR (%)</a:t>
                </a:r>
                <a:endParaRPr lang="en-AU"/>
              </a:p>
            </c:rich>
          </c:tx>
          <c:layout/>
          <c:overlay val="0"/>
        </c:title>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94888320"/>
        <c:crosses val="autoZero"/>
        <c:crossBetween val="between"/>
      </c:valAx>
    </c:plotArea>
    <c:plotVisOnly val="1"/>
    <c:dispBlanksAs val="gap"/>
    <c:showDLblsOverMax val="0"/>
    <c:extLst>
      <c:ext uri="{0b15fc19-7d7d-44ad-8c2d-2c3a37ce22c3}">
        <chartProps xmlns="https://web.wps.cn/et/2018/main" chartId="{857d6db0-38ff-4053-acd4-e1c6ace5103c}"/>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400" b="1" i="0" u="none" strike="noStrike" kern="1200" baseline="0">
                <a:solidFill>
                  <a:srgbClr val="000000"/>
                </a:solidFill>
                <a:latin typeface="Calibri" panose="020F0502020204030204"/>
                <a:ea typeface="Calibri" panose="020F0502020204030204"/>
                <a:cs typeface="Calibri" panose="020F0502020204030204"/>
              </a:defRPr>
            </a:pPr>
            <a:r>
              <a:rPr lang="en-AU"/>
              <a:t>Allowable Load vs Depth</a:t>
            </a:r>
            <a:endParaRPr lang="en-AU"/>
          </a:p>
        </c:rich>
      </c:tx>
      <c:layout>
        <c:manualLayout>
          <c:xMode val="edge"/>
          <c:yMode val="edge"/>
          <c:x val="0.329022117849312"/>
          <c:y val="0.020703933747412"/>
        </c:manualLayout>
      </c:layout>
      <c:overlay val="1"/>
    </c:title>
    <c:autoTitleDeleted val="0"/>
    <c:plotArea>
      <c:layout>
        <c:manualLayout>
          <c:layoutTarget val="inner"/>
          <c:xMode val="edge"/>
          <c:yMode val="edge"/>
          <c:x val="0.216111246963695"/>
          <c:y val="0.0252692326502667"/>
          <c:w val="0.738340098791999"/>
          <c:h val="0.80389560000653"/>
        </c:manualLayout>
      </c:layout>
      <c:lineChart>
        <c:grouping val="standard"/>
        <c:varyColors val="0"/>
        <c:ser>
          <c:idx val="4"/>
          <c:order val="0"/>
          <c:marker>
            <c:symbol val="square"/>
            <c:size val="5"/>
          </c:marker>
          <c:dLbls>
            <c:delete val="1"/>
          </c:dLbls>
          <c:cat>
            <c:numRef>
              <c:f>Sheet1!$A$18:$A$47</c:f>
              <c:numCache>
                <c:formatCode>0.0</c:formatCode>
                <c:ptCount val="30"/>
                <c:pt idx="0" c:formatCode="0.0">
                  <c:v>0.1</c:v>
                </c:pt>
                <c:pt idx="1" c:formatCode="0.0">
                  <c:v>0.2</c:v>
                </c:pt>
                <c:pt idx="2" c:formatCode="0.0">
                  <c:v>0.3</c:v>
                </c:pt>
                <c:pt idx="3" c:formatCode="0.0">
                  <c:v>0.4</c:v>
                </c:pt>
                <c:pt idx="4" c:formatCode="0.0">
                  <c:v>0.5</c:v>
                </c:pt>
                <c:pt idx="5" c:formatCode="0.0">
                  <c:v>0.6</c:v>
                </c:pt>
                <c:pt idx="6" c:formatCode="0.0">
                  <c:v>0.7</c:v>
                </c:pt>
                <c:pt idx="7" c:formatCode="0.0">
                  <c:v>0.8</c:v>
                </c:pt>
                <c:pt idx="8" c:formatCode="0.0">
                  <c:v>0.9</c:v>
                </c:pt>
                <c:pt idx="9" c:formatCode="0.0">
                  <c:v>1</c:v>
                </c:pt>
                <c:pt idx="10" c:formatCode="0.0">
                  <c:v>1.1</c:v>
                </c:pt>
                <c:pt idx="11" c:formatCode="0.0">
                  <c:v>1.2</c:v>
                </c:pt>
                <c:pt idx="12" c:formatCode="0.0">
                  <c:v>1.3</c:v>
                </c:pt>
                <c:pt idx="13" c:formatCode="0.0">
                  <c:v>1.4</c:v>
                </c:pt>
                <c:pt idx="14" c:formatCode="0.0">
                  <c:v>1.5</c:v>
                </c:pt>
                <c:pt idx="15" c:formatCode="0.0">
                  <c:v>1.6</c:v>
                </c:pt>
                <c:pt idx="16" c:formatCode="0.0">
                  <c:v>1.7</c:v>
                </c:pt>
                <c:pt idx="17" c:formatCode="0.0">
                  <c:v>1.8</c:v>
                </c:pt>
                <c:pt idx="18" c:formatCode="0.0">
                  <c:v>1.9</c:v>
                </c:pt>
                <c:pt idx="19" c:formatCode="0.0">
                  <c:v>2</c:v>
                </c:pt>
                <c:pt idx="20" c:formatCode="0.0">
                  <c:v>2.1</c:v>
                </c:pt>
                <c:pt idx="21" c:formatCode="0.0">
                  <c:v>2.2</c:v>
                </c:pt>
                <c:pt idx="22" c:formatCode="0.0">
                  <c:v>2.3</c:v>
                </c:pt>
                <c:pt idx="23" c:formatCode="0.0">
                  <c:v>2.4</c:v>
                </c:pt>
                <c:pt idx="24" c:formatCode="0.0">
                  <c:v>2.5</c:v>
                </c:pt>
                <c:pt idx="25" c:formatCode="0.0">
                  <c:v>2.6</c:v>
                </c:pt>
                <c:pt idx="26" c:formatCode="0.0">
                  <c:v>2.7</c:v>
                </c:pt>
                <c:pt idx="27" c:formatCode="0.0">
                  <c:v>2.8</c:v>
                </c:pt>
                <c:pt idx="28" c:formatCode="0.0">
                  <c:v>2.9</c:v>
                </c:pt>
                <c:pt idx="29" c:formatCode="0.0">
                  <c:v>3</c:v>
                </c:pt>
              </c:numCache>
            </c:numRef>
          </c:cat>
          <c:val>
            <c:numRef>
              <c:f>Sheet1!$E$18:$E$47</c:f>
              <c:numCache>
                <c:formatCode>0</c:formatCode>
                <c:ptCount val="30"/>
                <c:pt idx="0">
                  <c:v>125</c:v>
                </c:pt>
                <c:pt idx="1">
                  <c:v>185</c:v>
                </c:pt>
                <c:pt idx="2">
                  <c:v>148</c:v>
                </c:pt>
                <c:pt idx="3">
                  <c:v>70</c:v>
                </c:pt>
                <c:pt idx="4">
                  <c:v>70</c:v>
                </c:pt>
                <c:pt idx="5">
                  <c:v>70</c:v>
                </c:pt>
                <c:pt idx="6">
                  <c:v>38</c:v>
                </c:pt>
                <c:pt idx="7">
                  <c:v>70</c:v>
                </c:pt>
                <c:pt idx="8">
                  <c:v>38</c:v>
                </c:pt>
                <c:pt idx="9">
                  <c:v>70</c:v>
                </c:pt>
                <c:pt idx="10">
                  <c:v>38</c:v>
                </c:pt>
                <c:pt idx="11">
                  <c:v>70</c:v>
                </c:pt>
                <c:pt idx="12">
                  <c:v>38</c:v>
                </c:pt>
                <c:pt idx="13">
                  <c:v>38</c:v>
                </c:pt>
                <c:pt idx="14">
                  <c:v>70</c:v>
                </c:pt>
                <c:pt idx="15">
                  <c:v>70</c:v>
                </c:pt>
                <c:pt idx="16">
                  <c:v>70</c:v>
                </c:pt>
                <c:pt idx="17">
                  <c:v>100</c:v>
                </c:pt>
                <c:pt idx="18">
                  <c:v>125</c:v>
                </c:pt>
                <c:pt idx="19">
                  <c:v>170</c:v>
                </c:pt>
                <c:pt idx="20">
                  <c:v>200</c:v>
                </c:pt>
                <c:pt idx="21">
                  <c:v>250</c:v>
                </c:pt>
                <c:pt idx="22">
                  <c:v>250</c:v>
                </c:pt>
                <c:pt idx="23">
                  <c:v>290</c:v>
                </c:pt>
                <c:pt idx="24">
                  <c:v>340</c:v>
                </c:pt>
                <c:pt idx="25">
                  <c:v>320</c:v>
                </c:pt>
                <c:pt idx="26">
                  <c:v>295</c:v>
                </c:pt>
                <c:pt idx="27">
                  <c:v>360</c:v>
                </c:pt>
                <c:pt idx="28">
                  <c:v>370</c:v>
                </c:pt>
                <c:pt idx="29">
                  <c:v>390</c:v>
                </c:pt>
              </c:numCache>
            </c:numRef>
          </c:val>
          <c:smooth val="0"/>
        </c:ser>
        <c:dLbls>
          <c:showLegendKey val="0"/>
          <c:showVal val="0"/>
          <c:showCatName val="0"/>
          <c:showSerName val="0"/>
          <c:showPercent val="0"/>
          <c:showBubbleSize val="0"/>
        </c:dLbls>
        <c:upDownBars>
          <c:gapWidth val="150"/>
          <c:upBars/>
          <c:downBars/>
        </c:upDownBars>
        <c:marker val="1"/>
        <c:smooth val="0"/>
        <c:axId val="94784512"/>
        <c:axId val="94819456"/>
      </c:lineChart>
      <c:catAx>
        <c:axId val="94784512"/>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AU"/>
                  <a:t>Depth  (m)</a:t>
                </a:r>
                <a:endParaRPr lang="en-AU"/>
              </a:p>
            </c:rich>
          </c:tx>
          <c:layout/>
          <c:overlay val="0"/>
        </c:title>
        <c:numFmt formatCode="0.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94819456"/>
        <c:crosses val="autoZero"/>
        <c:auto val="1"/>
        <c:lblAlgn val="ctr"/>
        <c:lblOffset val="100"/>
        <c:noMultiLvlLbl val="0"/>
      </c:catAx>
      <c:valAx>
        <c:axId val="94819456"/>
        <c:scaling>
          <c:orientation val="minMax"/>
        </c:scaling>
        <c:delete val="0"/>
        <c:axPos val="l"/>
        <c:majorGridlines/>
        <c:minorGridlines/>
        <c:title>
          <c:tx>
            <c:rich>
              <a:bodyPr rot="-5400000" spcFirstLastPara="0" vertOverflow="ellipsis" vert="horz" wrap="square" anchor="ctr" anchorCtr="1"/>
              <a:lstStyle/>
              <a:p>
                <a:pP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AU"/>
                  <a:t>Allowable Load (kPa)</a:t>
                </a:r>
                <a:endParaRPr lang="en-AU"/>
              </a:p>
            </c:rich>
          </c:tx>
          <c:layout>
            <c:manualLayout>
              <c:xMode val="edge"/>
              <c:yMode val="edge"/>
              <c:x val="0.0302402112016704"/>
              <c:y val="0.296171239464632"/>
            </c:manualLayout>
          </c:layout>
          <c:overlay val="0"/>
        </c:title>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94784512"/>
        <c:crosses val="autoZero"/>
        <c:crossBetween val="between"/>
      </c:valAx>
    </c:plotArea>
    <c:plotVisOnly val="1"/>
    <c:dispBlanksAs val="gap"/>
    <c:showDLblsOverMax val="0"/>
    <c:extLst>
      <c:ext uri="{0b15fc19-7d7d-44ad-8c2d-2c3a37ce22c3}">
        <chartProps xmlns="https://web.wps.cn/et/2018/main" chartId="{b5595380-3136-4425-892d-a69c21e1f924}"/>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4" Type="http://schemas.openxmlformats.org/officeDocument/2006/relationships/image" Target="../media/image2.jpeg"/><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19051</xdr:colOff>
      <xdr:row>0</xdr:row>
      <xdr:rowOff>19050</xdr:rowOff>
    </xdr:from>
    <xdr:to>
      <xdr:col>8</xdr:col>
      <xdr:colOff>600076</xdr:colOff>
      <xdr:row>4</xdr:row>
      <xdr:rowOff>200025</xdr:rowOff>
    </xdr:to>
    <xdr:sp>
      <xdr:nvSpPr>
        <xdr:cNvPr id="2" name="TextBox 1"/>
        <xdr:cNvSpPr txBox="1"/>
      </xdr:nvSpPr>
      <xdr:spPr>
        <a:xfrm>
          <a:off x="19050" y="19050"/>
          <a:ext cx="5153025"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en-AU"/>
        </a:p>
      </xdr:txBody>
    </xdr:sp>
    <xdr:clientData/>
  </xdr:twoCellAnchor>
  <xdr:twoCellAnchor>
    <xdr:from>
      <xdr:col>0</xdr:col>
      <xdr:colOff>47625</xdr:colOff>
      <xdr:row>0</xdr:row>
      <xdr:rowOff>19050</xdr:rowOff>
    </xdr:from>
    <xdr:to>
      <xdr:col>8</xdr:col>
      <xdr:colOff>581025</xdr:colOff>
      <xdr:row>4</xdr:row>
      <xdr:rowOff>190501</xdr:rowOff>
    </xdr:to>
    <xdr:sp>
      <xdr:nvSpPr>
        <xdr:cNvPr id="3" name="TextBox 2"/>
        <xdr:cNvSpPr txBox="1"/>
      </xdr:nvSpPr>
      <xdr:spPr>
        <a:xfrm>
          <a:off x="47625" y="19050"/>
          <a:ext cx="5105400" cy="1085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AU" sz="1400" b="1"/>
            <a:t>    DEPARTMENT</a:t>
          </a:r>
          <a:r>
            <a:rPr lang="en-AU" sz="1400" b="1" baseline="0"/>
            <a:t> OF WORKS &amp; HIGHWAYS</a:t>
          </a:r>
          <a:endParaRPr lang="en-AU" sz="1400" b="1" baseline="0"/>
        </a:p>
        <a:p>
          <a:pPr algn="ctr"/>
          <a:r>
            <a:rPr lang="en-AU" sz="1400" b="1" baseline="0">
              <a:solidFill>
                <a:srgbClr val="00B050"/>
              </a:solidFill>
            </a:rPr>
            <a:t>      MATERIAL SCIENCE &amp; TECHNOLOGY BRANCH</a:t>
          </a:r>
          <a:endParaRPr lang="en-AU" sz="1400" b="1" baseline="0">
            <a:solidFill>
              <a:srgbClr val="00B050"/>
            </a:solidFill>
          </a:endParaRPr>
        </a:p>
        <a:p>
          <a:pPr algn="ctr"/>
          <a:r>
            <a:rPr lang="en-AU" sz="1400" b="1" u="none">
              <a:solidFill>
                <a:srgbClr val="C00000"/>
              </a:solidFill>
            </a:rPr>
            <a:t>Materials Testing Laboratory</a:t>
          </a:r>
          <a:endParaRPr lang="en-AU" sz="1400" b="1" u="none">
            <a:solidFill>
              <a:srgbClr val="C00000"/>
            </a:solidFill>
          </a:endParaRPr>
        </a:p>
        <a:p>
          <a:pPr algn="l"/>
          <a:r>
            <a:rPr lang="en-AU" sz="1100" b="1" u="none"/>
            <a:t>              Port Moresby,                </a:t>
          </a:r>
          <a:r>
            <a:rPr lang="en-AU" sz="1100" b="1" u="none">
              <a:solidFill>
                <a:schemeClr val="dk1"/>
              </a:solidFill>
              <a:latin typeface="+mn-lt"/>
              <a:ea typeface="+mn-ea"/>
              <a:cs typeface="+mn-cs"/>
            </a:rPr>
            <a:t> </a:t>
          </a:r>
          <a:r>
            <a:rPr lang="en-AU" sz="1100" b="1" baseline="0">
              <a:solidFill>
                <a:schemeClr val="dk1"/>
              </a:solidFill>
              <a:latin typeface="+mn-lt"/>
              <a:ea typeface="+mn-ea"/>
              <a:cs typeface="+mn-cs"/>
            </a:rPr>
            <a:t>Lae,</a:t>
          </a:r>
          <a:r>
            <a:rPr lang="en-AU" sz="1100" b="1"/>
            <a:t>                        Mt. Hagen,                </a:t>
          </a:r>
          <a:r>
            <a:rPr lang="en-AU" sz="1100" b="1" baseline="0"/>
            <a:t>Annex Lab.:</a:t>
          </a:r>
          <a:r>
            <a:rPr lang="en-AU" sz="1100" b="1" u="sng" baseline="0"/>
            <a:t>              </a:t>
          </a:r>
          <a:endParaRPr lang="en-AU" sz="1100" b="1"/>
        </a:p>
      </xdr:txBody>
    </xdr:sp>
    <xdr:clientData/>
  </xdr:twoCellAnchor>
  <xdr:twoCellAnchor editAs="oneCell">
    <xdr:from>
      <xdr:col>0</xdr:col>
      <xdr:colOff>0</xdr:colOff>
      <xdr:row>0</xdr:row>
      <xdr:rowOff>19050</xdr:rowOff>
    </xdr:from>
    <xdr:to>
      <xdr:col>1</xdr:col>
      <xdr:colOff>200025</xdr:colOff>
      <xdr:row>2</xdr:row>
      <xdr:rowOff>180975</xdr:rowOff>
    </xdr:to>
    <xdr:pic>
      <xdr:nvPicPr>
        <xdr:cNvPr id="3305" name="Image 5" descr="PNG Logo"/>
        <xdr:cNvPicPr>
          <a:picLocks noChangeAspect="1" noChangeArrowheads="1"/>
        </xdr:cNvPicPr>
      </xdr:nvPicPr>
      <xdr:blipFill>
        <a:blip r:embed="rId3" cstate="print">
          <a:extLst>
            <a:ext uri="{28A0092B-C50C-407E-A947-70E740481C1C}">
              <a14:useLocalDpi xmlns:a14="http://schemas.microsoft.com/office/drawing/2010/main" val="0"/>
            </a:ext>
          </a:extLst>
        </a:blip>
        <a:srcRect/>
        <a:stretch>
          <a:fillRect/>
        </a:stretch>
      </xdr:blipFill>
      <xdr:spPr>
        <a:xfrm>
          <a:off x="0" y="19050"/>
          <a:ext cx="657225"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381000</xdr:colOff>
      <xdr:row>3</xdr:row>
      <xdr:rowOff>85725</xdr:rowOff>
    </xdr:from>
    <xdr:to>
      <xdr:col>2</xdr:col>
      <xdr:colOff>619125</xdr:colOff>
      <xdr:row>4</xdr:row>
      <xdr:rowOff>38099</xdr:rowOff>
    </xdr:to>
    <xdr:sp>
      <xdr:nvSpPr>
        <xdr:cNvPr id="5" name="TextBox 4"/>
        <xdr:cNvSpPr txBox="1"/>
      </xdr:nvSpPr>
      <xdr:spPr>
        <a:xfrm>
          <a:off x="1590675" y="771525"/>
          <a:ext cx="238125" cy="1803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lstStyle/>
        <a:p>
          <a:endParaRPr lang="en-AU"/>
        </a:p>
      </xdr:txBody>
    </xdr:sp>
    <xdr:clientData/>
  </xdr:twoCellAnchor>
  <xdr:twoCellAnchor>
    <xdr:from>
      <xdr:col>0</xdr:col>
      <xdr:colOff>247650</xdr:colOff>
      <xdr:row>3</xdr:row>
      <xdr:rowOff>76200</xdr:rowOff>
    </xdr:from>
    <xdr:to>
      <xdr:col>1</xdr:col>
      <xdr:colOff>19050</xdr:colOff>
      <xdr:row>4</xdr:row>
      <xdr:rowOff>28574</xdr:rowOff>
    </xdr:to>
    <xdr:sp>
      <xdr:nvSpPr>
        <xdr:cNvPr id="6" name="TextBox 5"/>
        <xdr:cNvSpPr txBox="1"/>
      </xdr:nvSpPr>
      <xdr:spPr>
        <a:xfrm>
          <a:off x="247650" y="762000"/>
          <a:ext cx="228600" cy="18034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lstStyle/>
        <a:p>
          <a:r>
            <a:rPr lang="en-AU">
              <a:latin typeface="Corbel" panose="020B0503020204020204"/>
            </a:rPr>
            <a:t>√</a:t>
          </a:r>
          <a:endParaRPr lang="en-AU"/>
        </a:p>
      </xdr:txBody>
    </xdr:sp>
    <xdr:clientData/>
  </xdr:twoCellAnchor>
  <xdr:twoCellAnchor>
    <xdr:from>
      <xdr:col>4</xdr:col>
      <xdr:colOff>38100</xdr:colOff>
      <xdr:row>3</xdr:row>
      <xdr:rowOff>85725</xdr:rowOff>
    </xdr:from>
    <xdr:to>
      <xdr:col>4</xdr:col>
      <xdr:colOff>266700</xdr:colOff>
      <xdr:row>4</xdr:row>
      <xdr:rowOff>38100</xdr:rowOff>
    </xdr:to>
    <xdr:sp>
      <xdr:nvSpPr>
        <xdr:cNvPr id="7" name="TextBox 6"/>
        <xdr:cNvSpPr txBox="1"/>
      </xdr:nvSpPr>
      <xdr:spPr>
        <a:xfrm>
          <a:off x="2543175" y="771525"/>
          <a:ext cx="228600" cy="1809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lstStyle/>
        <a:p>
          <a:endParaRPr lang="en-AU"/>
        </a:p>
      </xdr:txBody>
    </xdr:sp>
    <xdr:clientData/>
  </xdr:twoCellAnchor>
  <xdr:twoCellAnchor>
    <xdr:from>
      <xdr:col>6</xdr:col>
      <xdr:colOff>247650</xdr:colOff>
      <xdr:row>3</xdr:row>
      <xdr:rowOff>76199</xdr:rowOff>
    </xdr:from>
    <xdr:to>
      <xdr:col>7</xdr:col>
      <xdr:colOff>19050</xdr:colOff>
      <xdr:row>4</xdr:row>
      <xdr:rowOff>28574</xdr:rowOff>
    </xdr:to>
    <xdr:sp>
      <xdr:nvSpPr>
        <xdr:cNvPr id="8" name="TextBox 7"/>
        <xdr:cNvSpPr txBox="1"/>
      </xdr:nvSpPr>
      <xdr:spPr>
        <a:xfrm>
          <a:off x="3667125" y="761365"/>
          <a:ext cx="228600" cy="180975"/>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wrap="square" rtlCol="0" anchor="t"/>
        <a:lstStyle/>
        <a:p>
          <a:endParaRPr lang="en-AU"/>
        </a:p>
      </xdr:txBody>
    </xdr:sp>
    <xdr:clientData/>
  </xdr:twoCellAnchor>
  <xdr:twoCellAnchor>
    <xdr:from>
      <xdr:col>4</xdr:col>
      <xdr:colOff>581025</xdr:colOff>
      <xdr:row>50</xdr:row>
      <xdr:rowOff>57150</xdr:rowOff>
    </xdr:from>
    <xdr:to>
      <xdr:col>7</xdr:col>
      <xdr:colOff>619125</xdr:colOff>
      <xdr:row>52</xdr:row>
      <xdr:rowOff>47625</xdr:rowOff>
    </xdr:to>
    <xdr:pic>
      <xdr:nvPicPr>
        <xdr:cNvPr id="3310" name="Picture 8" descr="PNGLAS cc bmp"/>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3086100" y="8791575"/>
          <a:ext cx="14097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28575</xdr:colOff>
      <xdr:row>49</xdr:row>
      <xdr:rowOff>19049</xdr:rowOff>
    </xdr:from>
    <xdr:to>
      <xdr:col>10</xdr:col>
      <xdr:colOff>733425</xdr:colOff>
      <xdr:row>56</xdr:row>
      <xdr:rowOff>142875</xdr:rowOff>
    </xdr:to>
    <xdr:sp>
      <xdr:nvSpPr>
        <xdr:cNvPr id="11" name="TextBox 10"/>
        <xdr:cNvSpPr txBox="1"/>
      </xdr:nvSpPr>
      <xdr:spPr>
        <a:xfrm>
          <a:off x="4600575" y="8524240"/>
          <a:ext cx="2000250" cy="13627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rtl="0"/>
          <a:r>
            <a:rPr lang="en-AU" sz="800" b="1" i="0">
              <a:solidFill>
                <a:srgbClr val="0070C0"/>
              </a:solidFill>
              <a:latin typeface="+mn-lt"/>
              <a:ea typeface="+mn-ea"/>
              <a:cs typeface="+mn-cs"/>
            </a:rPr>
            <a:t> PNGLAS Accredited Laboratory </a:t>
          </a:r>
          <a:endParaRPr lang="en-AU" sz="800" b="1" i="0">
            <a:solidFill>
              <a:srgbClr val="0070C0"/>
            </a:solidFill>
            <a:latin typeface="+mn-lt"/>
            <a:ea typeface="+mn-ea"/>
            <a:cs typeface="+mn-cs"/>
          </a:endParaRPr>
        </a:p>
        <a:p>
          <a:pPr algn="ctr" rtl="0"/>
          <a:r>
            <a:rPr lang="en-AU" sz="800" b="0" i="0">
              <a:solidFill>
                <a:srgbClr val="0070C0"/>
              </a:solidFill>
              <a:latin typeface="+mn-lt"/>
              <a:ea typeface="+mn-ea"/>
              <a:cs typeface="+mn-cs"/>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sz="800">
            <a:solidFill>
              <a:srgbClr val="0070C0"/>
            </a:solidFill>
          </a:endParaRPr>
        </a:p>
        <a:p>
          <a:pPr rtl="0"/>
          <a:endParaRPr lang="en-AU" sz="1100" b="0" i="0">
            <a:solidFill>
              <a:srgbClr val="00B0F0"/>
            </a:solidFill>
            <a:latin typeface="+mn-lt"/>
            <a:ea typeface="+mn-ea"/>
            <a:cs typeface="+mn-cs"/>
          </a:endParaRPr>
        </a:p>
        <a:p>
          <a:pPr rtl="0"/>
          <a:r>
            <a:rPr lang="en-AU" sz="1100" b="0" i="0">
              <a:solidFill>
                <a:schemeClr val="dk1"/>
              </a:solidFill>
              <a:latin typeface="+mn-lt"/>
              <a:ea typeface="+mn-ea"/>
              <a:cs typeface="+mn-cs"/>
            </a:rPr>
            <a:t>    </a:t>
          </a:r>
          <a:endParaRPr lang="en-AU"/>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a:p>
          <a:pPr rtl="0"/>
          <a:r>
            <a:rPr lang="en-AU" sz="1100" b="0" i="0">
              <a:solidFill>
                <a:schemeClr val="dk1"/>
              </a:solidFill>
              <a:latin typeface="+mn-lt"/>
              <a:ea typeface="+mn-ea"/>
              <a:cs typeface="+mn-cs"/>
            </a:rPr>
            <a:t>This laboratory is accredited by the Papua New Guinea Laboratory Accreditation Scheme. The tests reported herein have been performed in accordance with its scope of accreditation and PNGLAS requirements which include the requirements of ISO/IEC 17025. This document shall not be reproduced, except in full.</a:t>
          </a:r>
          <a:endParaRPr lang="en-AU"/>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a:p>
          <a:pPr rtl="0"/>
          <a:endParaRPr lang="en-AU" sz="1100" b="0" i="0">
            <a:solidFill>
              <a:schemeClr val="dk1"/>
            </a:solidFill>
            <a:latin typeface="+mn-lt"/>
            <a:ea typeface="+mn-ea"/>
            <a:cs typeface="+mn-cs"/>
          </a:endParaRPr>
        </a:p>
      </xdr:txBody>
    </xdr:sp>
    <xdr:clientData/>
  </xdr:twoCellAnchor>
  <xdr:twoCellAnchor>
    <xdr:from>
      <xdr:col>4</xdr:col>
      <xdr:colOff>552450</xdr:colOff>
      <xdr:row>53</xdr:row>
      <xdr:rowOff>9525</xdr:rowOff>
    </xdr:from>
    <xdr:to>
      <xdr:col>7</xdr:col>
      <xdr:colOff>657225</xdr:colOff>
      <xdr:row>54</xdr:row>
      <xdr:rowOff>85725</xdr:rowOff>
    </xdr:to>
    <xdr:sp>
      <xdr:nvSpPr>
        <xdr:cNvPr id="12" name="TextBox 11"/>
        <xdr:cNvSpPr txBox="1"/>
      </xdr:nvSpPr>
      <xdr:spPr>
        <a:xfrm>
          <a:off x="3057525" y="9229725"/>
          <a:ext cx="1476375" cy="238125"/>
        </a:xfrm>
        <a:prstGeom prst="rect">
          <a:avLst/>
        </a:prstGeom>
        <a:solidFill>
          <a:schemeClr val="tx2">
            <a:lumMod val="40000"/>
            <a:lumOff val="60000"/>
          </a:schemeClr>
        </a:solidFill>
        <a:ln w="222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algn="ctr" defTabSz="914400" rtl="0" eaLnBrk="1" fontAlgn="auto" latinLnBrk="0" hangingPunct="1">
            <a:lnSpc>
              <a:spcPct val="100000"/>
            </a:lnSpc>
            <a:spcBef>
              <a:spcPts val="0"/>
            </a:spcBef>
            <a:spcAft>
              <a:spcPts val="0"/>
            </a:spcAft>
            <a:buClrTx/>
            <a:buSzTx/>
            <a:buFontTx/>
            <a:buNone/>
            <a:defRPr/>
          </a:pPr>
          <a:r>
            <a:rPr lang="en-AU" sz="1100" b="1">
              <a:solidFill>
                <a:sysClr val="windowText" lastClr="000000"/>
              </a:solidFill>
              <a:latin typeface="+mn-lt"/>
              <a:ea typeface="+mn-ea"/>
              <a:cs typeface="+mn-cs"/>
            </a:rPr>
            <a:t>NUMBER  NO : 10</a:t>
          </a:r>
          <a:endParaRPr lang="en-AU" sz="1100" b="1">
            <a:solidFill>
              <a:sysClr val="windowText" lastClr="000000"/>
            </a:solidFill>
          </a:endParaRPr>
        </a:p>
      </xdr:txBody>
    </xdr:sp>
    <xdr:clientData/>
  </xdr:twoCellAnchor>
  <xdr:twoCellAnchor>
    <xdr:from>
      <xdr:col>5</xdr:col>
      <xdr:colOff>133350</xdr:colOff>
      <xdr:row>11</xdr:row>
      <xdr:rowOff>76200</xdr:rowOff>
    </xdr:from>
    <xdr:to>
      <xdr:col>10</xdr:col>
      <xdr:colOff>695325</xdr:colOff>
      <xdr:row>29</xdr:row>
      <xdr:rowOff>133350</xdr:rowOff>
    </xdr:to>
    <xdr:graphicFrame>
      <xdr:nvGraphicFramePr>
        <xdr:cNvPr id="3313" name="Chart 12"/>
        <xdr:cNvGraphicFramePr/>
      </xdr:nvGraphicFramePr>
      <xdr:xfrm>
        <a:off x="3333750" y="2381250"/>
        <a:ext cx="3228975" cy="29813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123825</xdr:colOff>
      <xdr:row>30</xdr:row>
      <xdr:rowOff>57150</xdr:rowOff>
    </xdr:from>
    <xdr:to>
      <xdr:col>10</xdr:col>
      <xdr:colOff>714375</xdr:colOff>
      <xdr:row>48</xdr:row>
      <xdr:rowOff>152400</xdr:rowOff>
    </xdr:to>
    <xdr:graphicFrame>
      <xdr:nvGraphicFramePr>
        <xdr:cNvPr id="3314" name="Chart 13"/>
        <xdr:cNvGraphicFramePr/>
      </xdr:nvGraphicFramePr>
      <xdr:xfrm>
        <a:off x="3324225" y="5448300"/>
        <a:ext cx="3257550" cy="30480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O59"/>
  <sheetViews>
    <sheetView tabSelected="1" workbookViewId="0">
      <selection activeCell="C53" sqref="C53"/>
    </sheetView>
  </sheetViews>
  <sheetFormatPr defaultColWidth="9" defaultRowHeight="12.75"/>
  <cols>
    <col min="1" max="1" width="6.85714285714286" customWidth="1"/>
    <col min="2" max="2" width="11.2857142857143" customWidth="1"/>
    <col min="3" max="3" width="9.42857142857143" customWidth="1"/>
    <col min="4" max="4" width="10" customWidth="1"/>
    <col min="5" max="5" width="10.4285714285714" customWidth="1"/>
    <col min="6" max="6" width="3.28571428571429" customWidth="1"/>
    <col min="7" max="7" width="6.85714285714286" customWidth="1"/>
    <col min="8" max="8" width="10.4285714285714" customWidth="1"/>
    <col min="9" max="9" width="9.14285714285714" customWidth="1"/>
    <col min="10" max="10" width="10.2857142857143" customWidth="1"/>
    <col min="11" max="11" width="11.7142857142857" customWidth="1"/>
  </cols>
  <sheetData>
    <row r="1" ht="18" customHeight="1" spans="1:12">
      <c r="A1" s="1"/>
      <c r="B1" s="2"/>
      <c r="C1" s="2"/>
      <c r="D1" s="2"/>
      <c r="E1" s="2"/>
      <c r="F1" s="2"/>
      <c r="G1" s="2"/>
      <c r="H1" s="2"/>
      <c r="I1" s="2"/>
      <c r="J1" s="65" t="s">
        <v>0</v>
      </c>
      <c r="K1" s="66"/>
      <c r="L1" s="8"/>
    </row>
    <row r="2" ht="18" customHeight="1" spans="1:12">
      <c r="A2" s="3"/>
      <c r="B2" s="4"/>
      <c r="C2" s="4"/>
      <c r="D2" s="4"/>
      <c r="E2" s="4"/>
      <c r="F2" s="4"/>
      <c r="G2" s="4"/>
      <c r="H2" s="4"/>
      <c r="I2" s="4"/>
      <c r="J2" s="67" t="s">
        <v>1</v>
      </c>
      <c r="K2" s="68"/>
      <c r="L2" s="69"/>
    </row>
    <row r="3" ht="18" customHeight="1" spans="1:12">
      <c r="A3" s="3"/>
      <c r="B3" s="4"/>
      <c r="C3" s="4"/>
      <c r="D3" s="4"/>
      <c r="E3" s="4"/>
      <c r="F3" s="4"/>
      <c r="G3" s="4"/>
      <c r="H3" s="4"/>
      <c r="I3" s="4"/>
      <c r="J3" s="70" t="s">
        <v>2</v>
      </c>
      <c r="K3" s="71"/>
      <c r="L3" s="8"/>
    </row>
    <row r="4" ht="18" customHeight="1" spans="1:12">
      <c r="A4" s="3"/>
      <c r="B4" s="4"/>
      <c r="C4" s="4"/>
      <c r="D4" s="4"/>
      <c r="E4" s="4"/>
      <c r="F4" s="4"/>
      <c r="G4" s="4"/>
      <c r="H4" s="4"/>
      <c r="I4" s="4"/>
      <c r="J4" s="72" t="s">
        <v>3</v>
      </c>
      <c r="K4" s="73"/>
      <c r="L4" s="8"/>
    </row>
    <row r="5" ht="18" customHeight="1" spans="1:12">
      <c r="A5" s="3"/>
      <c r="B5" s="4"/>
      <c r="C5" s="4"/>
      <c r="D5" s="4"/>
      <c r="E5" s="4"/>
      <c r="F5" s="4"/>
      <c r="G5" s="4"/>
      <c r="H5" s="4"/>
      <c r="I5" s="4"/>
      <c r="J5" s="74" t="s">
        <v>4</v>
      </c>
      <c r="K5" s="68"/>
      <c r="L5" s="69"/>
    </row>
    <row r="6" ht="18.75" customHeight="1" spans="1:41">
      <c r="A6" s="5" t="s">
        <v>5</v>
      </c>
      <c r="B6" s="6"/>
      <c r="C6" s="6"/>
      <c r="D6" s="6"/>
      <c r="E6" s="6"/>
      <c r="F6" s="6"/>
      <c r="G6" s="6"/>
      <c r="H6" s="6"/>
      <c r="I6" s="6"/>
      <c r="J6" s="6"/>
      <c r="K6" s="75"/>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row>
    <row r="7" spans="1:16">
      <c r="A7" s="7" t="s">
        <v>6</v>
      </c>
      <c r="B7" s="8"/>
      <c r="C7" s="9"/>
      <c r="D7" s="10"/>
      <c r="E7" s="10"/>
      <c r="F7" s="10"/>
      <c r="G7" s="10"/>
      <c r="H7" s="8" t="s">
        <v>7</v>
      </c>
      <c r="I7" s="10"/>
      <c r="J7" s="10"/>
      <c r="K7" s="77"/>
      <c r="L7" s="8"/>
      <c r="M7" s="8"/>
      <c r="N7" s="8"/>
      <c r="O7" s="8"/>
      <c r="P7" s="8"/>
    </row>
    <row r="8" ht="15" spans="1:16">
      <c r="A8" s="7" t="s">
        <v>8</v>
      </c>
      <c r="B8" s="8"/>
      <c r="C8" s="11"/>
      <c r="D8" s="12"/>
      <c r="E8" s="12"/>
      <c r="F8" s="12"/>
      <c r="G8" s="12"/>
      <c r="H8" s="8" t="s">
        <v>9</v>
      </c>
      <c r="I8" s="10" t="s">
        <v>10</v>
      </c>
      <c r="J8" s="10"/>
      <c r="K8" s="77"/>
      <c r="L8" s="8"/>
      <c r="M8" s="8"/>
      <c r="N8" s="8"/>
      <c r="O8" s="8"/>
      <c r="P8" s="8"/>
    </row>
    <row r="9" ht="15" spans="1:16">
      <c r="A9" s="7" t="s">
        <v>11</v>
      </c>
      <c r="B9" s="8"/>
      <c r="C9" s="11"/>
      <c r="D9" s="12"/>
      <c r="E9" s="12"/>
      <c r="F9" s="12"/>
      <c r="G9" s="12"/>
      <c r="H9" s="8" t="s">
        <v>12</v>
      </c>
      <c r="I9" s="10"/>
      <c r="J9" s="10"/>
      <c r="K9" s="77"/>
      <c r="L9" s="8"/>
      <c r="M9" s="8"/>
      <c r="N9" s="8"/>
      <c r="O9" s="8"/>
      <c r="P9" s="8"/>
    </row>
    <row r="10" ht="15" spans="1:16">
      <c r="A10" s="7" t="s">
        <v>13</v>
      </c>
      <c r="B10" s="8"/>
      <c r="C10" s="10"/>
      <c r="D10" s="10"/>
      <c r="E10" s="10"/>
      <c r="F10" s="10"/>
      <c r="G10" s="10"/>
      <c r="H10" s="8" t="s">
        <v>14</v>
      </c>
      <c r="I10" s="10"/>
      <c r="J10" s="10"/>
      <c r="K10" s="77"/>
      <c r="L10" s="8"/>
      <c r="M10" s="78"/>
      <c r="N10" s="79"/>
      <c r="O10" s="79"/>
      <c r="P10" s="79"/>
    </row>
    <row r="11" ht="15" customHeight="1" spans="1:16">
      <c r="A11" s="13" t="s">
        <v>15</v>
      </c>
      <c r="B11" s="14"/>
      <c r="C11" s="14"/>
      <c r="D11" s="14"/>
      <c r="E11" s="14"/>
      <c r="F11" s="14"/>
      <c r="G11" s="14"/>
      <c r="H11" s="14" t="s">
        <v>16</v>
      </c>
      <c r="I11" s="14"/>
      <c r="J11" s="14"/>
      <c r="K11" s="80"/>
      <c r="L11" s="8"/>
      <c r="M11" s="8"/>
      <c r="N11" s="8"/>
      <c r="O11" s="8"/>
      <c r="P11" s="8"/>
    </row>
    <row r="12" spans="1:11">
      <c r="A12" s="15"/>
      <c r="B12" s="2"/>
      <c r="C12" s="2"/>
      <c r="D12" s="2"/>
      <c r="E12" s="2"/>
      <c r="F12" s="2"/>
      <c r="G12" s="2"/>
      <c r="H12" s="2"/>
      <c r="I12" s="2"/>
      <c r="J12" s="2"/>
      <c r="K12" s="81"/>
    </row>
    <row r="13" spans="1:11">
      <c r="A13" s="16" t="s">
        <v>17</v>
      </c>
      <c r="B13" s="17"/>
      <c r="C13" s="4"/>
      <c r="D13" s="4"/>
      <c r="E13" s="4"/>
      <c r="F13" s="4"/>
      <c r="G13" s="9"/>
      <c r="H13" s="9"/>
      <c r="I13" s="4"/>
      <c r="J13" s="4"/>
      <c r="K13" s="77"/>
    </row>
    <row r="14" ht="13.5" spans="1:11">
      <c r="A14" s="3"/>
      <c r="B14" s="17"/>
      <c r="C14" s="4"/>
      <c r="D14" s="4"/>
      <c r="E14" s="4"/>
      <c r="F14" s="4"/>
      <c r="G14" s="4"/>
      <c r="H14" s="4"/>
      <c r="I14" s="4"/>
      <c r="J14" s="4"/>
      <c r="K14" s="77"/>
    </row>
    <row r="15" spans="1:11">
      <c r="A15" s="18" t="s">
        <v>18</v>
      </c>
      <c r="B15" s="19" t="s">
        <v>19</v>
      </c>
      <c r="C15" s="96" t="s">
        <v>20</v>
      </c>
      <c r="D15" s="20" t="s">
        <v>21</v>
      </c>
      <c r="E15" s="21" t="s">
        <v>22</v>
      </c>
      <c r="F15" s="4"/>
      <c r="G15" s="22"/>
      <c r="H15" s="22"/>
      <c r="I15" s="22"/>
      <c r="J15" s="4"/>
      <c r="K15" s="77"/>
    </row>
    <row r="16" spans="1:11">
      <c r="A16" s="23" t="s">
        <v>23</v>
      </c>
      <c r="B16" s="24" t="s">
        <v>24</v>
      </c>
      <c r="C16" s="25" t="s">
        <v>25</v>
      </c>
      <c r="D16" s="26"/>
      <c r="E16" s="27" t="s">
        <v>26</v>
      </c>
      <c r="F16" s="4"/>
      <c r="G16" s="22"/>
      <c r="H16" s="22"/>
      <c r="I16" s="38"/>
      <c r="J16" s="4"/>
      <c r="K16" s="82"/>
    </row>
    <row r="17" spans="1:11">
      <c r="A17" s="28"/>
      <c r="B17" s="29"/>
      <c r="C17" s="30"/>
      <c r="D17" s="31" t="s">
        <v>27</v>
      </c>
      <c r="E17" s="32" t="s">
        <v>28</v>
      </c>
      <c r="F17" s="4"/>
      <c r="G17" s="22"/>
      <c r="H17" s="22"/>
      <c r="I17" s="38"/>
      <c r="J17" s="22"/>
      <c r="K17" s="82"/>
    </row>
    <row r="18" spans="1:11">
      <c r="A18" s="33">
        <v>0.1</v>
      </c>
      <c r="B18" s="34">
        <v>4</v>
      </c>
      <c r="C18" s="35">
        <f t="shared" ref="C18:C47" si="0">SUM(100/B18)</f>
        <v>25</v>
      </c>
      <c r="D18" s="36">
        <f t="shared" ref="D18:D47" si="1">10^(2.93-(1.44*(LOG(C18))))</f>
        <v>8.25974020337502</v>
      </c>
      <c r="E18" s="37">
        <f>IF(B18&lt;=30,LOOKUP(B18,Sheet2!A$3:A$32,Sheet2!B$3:B$32),"&gt;490")</f>
        <v>125</v>
      </c>
      <c r="F18" s="4"/>
      <c r="G18" s="22"/>
      <c r="H18" s="38"/>
      <c r="I18" s="83"/>
      <c r="J18" s="84"/>
      <c r="K18" s="82"/>
    </row>
    <row r="19" spans="1:11">
      <c r="A19" s="33">
        <v>0.2</v>
      </c>
      <c r="B19" s="34">
        <v>7</v>
      </c>
      <c r="C19" s="35">
        <f t="shared" si="0"/>
        <v>14.2857142857143</v>
      </c>
      <c r="D19" s="39">
        <f t="shared" si="1"/>
        <v>18.4901816446242</v>
      </c>
      <c r="E19" s="37">
        <f>IF(B19&lt;=30,LOOKUP(B19,Sheet2!A$3:A$32,Sheet2!B$3:B$32),"&gt;490")</f>
        <v>185</v>
      </c>
      <c r="F19" s="4"/>
      <c r="G19" s="22"/>
      <c r="H19" s="38"/>
      <c r="I19" s="83"/>
      <c r="J19" s="84"/>
      <c r="K19" s="82"/>
    </row>
    <row r="20" spans="1:11">
      <c r="A20" s="40">
        <v>0.3</v>
      </c>
      <c r="B20" s="34">
        <v>5</v>
      </c>
      <c r="C20" s="35">
        <f t="shared" si="0"/>
        <v>20</v>
      </c>
      <c r="D20" s="39">
        <f t="shared" si="1"/>
        <v>11.3898185712252</v>
      </c>
      <c r="E20" s="37">
        <f>IF(B20&lt;=30,LOOKUP(B20,Sheet2!A$3:A$32,Sheet2!B$3:B$32),"&gt;490")</f>
        <v>148</v>
      </c>
      <c r="F20" s="4"/>
      <c r="G20" s="22"/>
      <c r="H20" s="38"/>
      <c r="I20" s="83"/>
      <c r="J20" s="84"/>
      <c r="K20" s="82"/>
    </row>
    <row r="21" spans="1:11">
      <c r="A21" s="33">
        <v>0.4</v>
      </c>
      <c r="B21" s="34">
        <v>2</v>
      </c>
      <c r="C21" s="35">
        <f t="shared" si="0"/>
        <v>50</v>
      </c>
      <c r="D21" s="39">
        <f t="shared" si="1"/>
        <v>3.04427018116439</v>
      </c>
      <c r="E21" s="37">
        <f>IF(B21&lt;=30,LOOKUP(B21,Sheet2!A$3:A$32,Sheet2!B$3:B$32),"&gt;490")</f>
        <v>70</v>
      </c>
      <c r="F21" s="4"/>
      <c r="G21" s="22"/>
      <c r="H21" s="41"/>
      <c r="I21" s="83"/>
      <c r="J21" s="84"/>
      <c r="K21" s="82"/>
    </row>
    <row r="22" spans="1:11">
      <c r="A22" s="40">
        <v>0.5</v>
      </c>
      <c r="B22" s="42">
        <v>2</v>
      </c>
      <c r="C22" s="35">
        <f t="shared" si="0"/>
        <v>50</v>
      </c>
      <c r="D22" s="39">
        <f t="shared" si="1"/>
        <v>3.04427018116439</v>
      </c>
      <c r="E22" s="37">
        <f>IF(B22&lt;=30,LOOKUP(B22,Sheet2!A$3:A$32,Sheet2!B$3:B$32),"&gt;490")</f>
        <v>70</v>
      </c>
      <c r="F22" s="4"/>
      <c r="G22" s="22"/>
      <c r="H22" s="22"/>
      <c r="I22" s="83"/>
      <c r="J22" s="84"/>
      <c r="K22" s="82"/>
    </row>
    <row r="23" spans="1:11">
      <c r="A23" s="33">
        <v>0.6</v>
      </c>
      <c r="B23" s="34">
        <v>2</v>
      </c>
      <c r="C23" s="35">
        <f t="shared" si="0"/>
        <v>50</v>
      </c>
      <c r="D23" s="39">
        <f t="shared" si="1"/>
        <v>3.04427018116439</v>
      </c>
      <c r="E23" s="37">
        <f>IF(B23&lt;=30,LOOKUP(B23,Sheet2!A$3:A$32,Sheet2!B$3:B$32),"&gt;490")</f>
        <v>70</v>
      </c>
      <c r="F23" s="4"/>
      <c r="G23" s="22"/>
      <c r="H23" s="22"/>
      <c r="I23" s="83"/>
      <c r="J23" s="84"/>
      <c r="K23" s="82"/>
    </row>
    <row r="24" spans="1:11">
      <c r="A24" s="40">
        <v>0.7</v>
      </c>
      <c r="B24" s="42">
        <v>1</v>
      </c>
      <c r="C24" s="35">
        <f t="shared" si="0"/>
        <v>100</v>
      </c>
      <c r="D24" s="39">
        <f t="shared" si="1"/>
        <v>1.12201845430196</v>
      </c>
      <c r="E24" s="37">
        <f>IF(B24&lt;=30,LOOKUP(B24,Sheet2!A$3:A$32,Sheet2!B$3:B$32),"&gt;490")</f>
        <v>38</v>
      </c>
      <c r="F24" s="4"/>
      <c r="G24" s="22"/>
      <c r="H24" s="22"/>
      <c r="I24" s="83"/>
      <c r="J24" s="84"/>
      <c r="K24" s="82"/>
    </row>
    <row r="25" spans="1:11">
      <c r="A25" s="33">
        <v>0.8</v>
      </c>
      <c r="B25" s="42">
        <v>2</v>
      </c>
      <c r="C25" s="35">
        <f t="shared" si="0"/>
        <v>50</v>
      </c>
      <c r="D25" s="39">
        <f t="shared" si="1"/>
        <v>3.04427018116439</v>
      </c>
      <c r="E25" s="37">
        <f>IF(B25&lt;=30,LOOKUP(B25,Sheet2!A$3:A$32,Sheet2!B$3:B$32),"&gt;490")</f>
        <v>70</v>
      </c>
      <c r="F25" s="4"/>
      <c r="G25" s="22"/>
      <c r="H25" s="22"/>
      <c r="I25" s="83"/>
      <c r="J25" s="84"/>
      <c r="K25" s="82"/>
    </row>
    <row r="26" spans="1:11">
      <c r="A26" s="40">
        <v>0.9</v>
      </c>
      <c r="B26" s="42">
        <v>1</v>
      </c>
      <c r="C26" s="35">
        <f t="shared" si="0"/>
        <v>100</v>
      </c>
      <c r="D26" s="39">
        <f t="shared" si="1"/>
        <v>1.12201845430196</v>
      </c>
      <c r="E26" s="37">
        <f>IF(B26&lt;=30,LOOKUP(B26,Sheet2!A$3:A$32,Sheet2!B$3:B$32),"&gt;490")</f>
        <v>38</v>
      </c>
      <c r="F26" s="4"/>
      <c r="G26" s="22"/>
      <c r="H26" s="22"/>
      <c r="I26" s="83"/>
      <c r="J26" s="84"/>
      <c r="K26" s="82"/>
    </row>
    <row r="27" spans="1:11">
      <c r="A27" s="33">
        <v>1</v>
      </c>
      <c r="B27" s="42">
        <v>2</v>
      </c>
      <c r="C27" s="35">
        <f t="shared" si="0"/>
        <v>50</v>
      </c>
      <c r="D27" s="39">
        <f t="shared" si="1"/>
        <v>3.04427018116439</v>
      </c>
      <c r="E27" s="37">
        <f>IF(B27&lt;=30,LOOKUP(B27,Sheet2!A$3:A$32,Sheet2!B$3:B$32),"&gt;490")</f>
        <v>70</v>
      </c>
      <c r="F27" s="4"/>
      <c r="G27" s="43"/>
      <c r="H27" s="22"/>
      <c r="I27" s="83"/>
      <c r="J27" s="84"/>
      <c r="K27" s="82"/>
    </row>
    <row r="28" spans="1:11">
      <c r="A28" s="40">
        <v>1.1</v>
      </c>
      <c r="B28" s="34">
        <v>1</v>
      </c>
      <c r="C28" s="35">
        <f t="shared" si="0"/>
        <v>100</v>
      </c>
      <c r="D28" s="39">
        <f t="shared" si="1"/>
        <v>1.12201845430196</v>
      </c>
      <c r="E28" s="37">
        <f>IF(B28&lt;=30,LOOKUP(B28,Sheet2!A$3:A$32,Sheet2!B$3:B$32),"&gt;490")</f>
        <v>38</v>
      </c>
      <c r="F28" s="4"/>
      <c r="G28" s="22"/>
      <c r="H28" s="22"/>
      <c r="I28" s="83"/>
      <c r="J28" s="84"/>
      <c r="K28" s="82"/>
    </row>
    <row r="29" spans="1:11">
      <c r="A29" s="33">
        <v>1.2</v>
      </c>
      <c r="B29" s="42">
        <v>2</v>
      </c>
      <c r="C29" s="35">
        <f t="shared" si="0"/>
        <v>50</v>
      </c>
      <c r="D29" s="39">
        <f t="shared" si="1"/>
        <v>3.04427018116439</v>
      </c>
      <c r="E29" s="37">
        <f>IF(B29&lt;=30,LOOKUP(B29,Sheet2!A$3:A$32,Sheet2!B$3:B$32),"&gt;490")</f>
        <v>70</v>
      </c>
      <c r="F29" s="4"/>
      <c r="G29" s="22"/>
      <c r="H29" s="22"/>
      <c r="I29" s="83"/>
      <c r="J29" s="84"/>
      <c r="K29" s="82"/>
    </row>
    <row r="30" spans="1:11">
      <c r="A30" s="40">
        <v>1.3</v>
      </c>
      <c r="B30" s="42">
        <v>1</v>
      </c>
      <c r="C30" s="35">
        <f t="shared" si="0"/>
        <v>100</v>
      </c>
      <c r="D30" s="39">
        <f t="shared" si="1"/>
        <v>1.12201845430196</v>
      </c>
      <c r="E30" s="37">
        <f>IF(B30&lt;=30,LOOKUP(B30,Sheet2!A$3:A$32,Sheet2!B$3:B$32),"&gt;490")</f>
        <v>38</v>
      </c>
      <c r="F30" s="4"/>
      <c r="G30" s="22"/>
      <c r="H30" s="22"/>
      <c r="I30" s="83"/>
      <c r="J30" s="84"/>
      <c r="K30" s="82"/>
    </row>
    <row r="31" spans="1:11">
      <c r="A31" s="33">
        <v>1.4</v>
      </c>
      <c r="B31" s="42">
        <v>1</v>
      </c>
      <c r="C31" s="35">
        <f t="shared" si="0"/>
        <v>100</v>
      </c>
      <c r="D31" s="39">
        <f t="shared" si="1"/>
        <v>1.12201845430196</v>
      </c>
      <c r="E31" s="37">
        <f>IF(B31&lt;=30,LOOKUP(B31,Sheet2!A$3:A$32,Sheet2!B$3:B$32),"&gt;490")</f>
        <v>38</v>
      </c>
      <c r="F31" s="4"/>
      <c r="G31" s="22"/>
      <c r="H31" s="22"/>
      <c r="I31" s="83"/>
      <c r="J31" s="84"/>
      <c r="K31" s="82"/>
    </row>
    <row r="32" spans="1:11">
      <c r="A32" s="40">
        <v>1.5</v>
      </c>
      <c r="B32" s="42">
        <v>2</v>
      </c>
      <c r="C32" s="35">
        <f t="shared" si="0"/>
        <v>50</v>
      </c>
      <c r="D32" s="39">
        <f t="shared" si="1"/>
        <v>3.04427018116439</v>
      </c>
      <c r="E32" s="37">
        <f>IF(B32&lt;=30,LOOKUP(B32,Sheet2!A$3:A$32,Sheet2!B$3:B$32),"&gt;490")</f>
        <v>70</v>
      </c>
      <c r="F32" s="4"/>
      <c r="G32" s="22"/>
      <c r="H32" s="22"/>
      <c r="I32" s="83"/>
      <c r="J32" s="84"/>
      <c r="K32" s="82"/>
    </row>
    <row r="33" spans="1:11">
      <c r="A33" s="33">
        <v>1.6</v>
      </c>
      <c r="B33" s="42">
        <v>2</v>
      </c>
      <c r="C33" s="35">
        <f t="shared" si="0"/>
        <v>50</v>
      </c>
      <c r="D33" s="39">
        <f t="shared" si="1"/>
        <v>3.04427018116439</v>
      </c>
      <c r="E33" s="37">
        <f>IF(B33&lt;=30,LOOKUP(B33,Sheet2!A$3:A$32,Sheet2!B$3:B$32),"&gt;490")</f>
        <v>70</v>
      </c>
      <c r="F33" s="4"/>
      <c r="G33" s="22"/>
      <c r="H33" s="41"/>
      <c r="I33" s="83"/>
      <c r="J33" s="84"/>
      <c r="K33" s="85"/>
    </row>
    <row r="34" spans="1:11">
      <c r="A34" s="40">
        <v>1.7</v>
      </c>
      <c r="B34" s="42">
        <v>2</v>
      </c>
      <c r="C34" s="35">
        <f t="shared" si="0"/>
        <v>50</v>
      </c>
      <c r="D34" s="39">
        <f t="shared" si="1"/>
        <v>3.04427018116439</v>
      </c>
      <c r="E34" s="37">
        <f>IF(B34&lt;=30,LOOKUP(B34,Sheet2!A$3:A$32,Sheet2!B$3:B$32),"&gt;490")</f>
        <v>70</v>
      </c>
      <c r="F34" s="4"/>
      <c r="G34" s="22"/>
      <c r="H34" s="41"/>
      <c r="I34" s="83"/>
      <c r="J34" s="84"/>
      <c r="K34" s="85"/>
    </row>
    <row r="35" spans="1:11">
      <c r="A35" s="33">
        <v>1.8</v>
      </c>
      <c r="B35" s="42">
        <v>3</v>
      </c>
      <c r="C35" s="35">
        <f t="shared" si="0"/>
        <v>33.3333333333333</v>
      </c>
      <c r="D35" s="39">
        <f t="shared" si="1"/>
        <v>5.45826487249989</v>
      </c>
      <c r="E35" s="37">
        <f>IF(B35&lt;=30,LOOKUP(B35,Sheet2!A$3:A$32,Sheet2!B$3:B$32),"&gt;490")</f>
        <v>100</v>
      </c>
      <c r="F35" s="4"/>
      <c r="G35" s="22"/>
      <c r="H35" s="41"/>
      <c r="I35" s="83"/>
      <c r="J35" s="84"/>
      <c r="K35" s="85"/>
    </row>
    <row r="36" spans="1:11">
      <c r="A36" s="40">
        <v>1.9</v>
      </c>
      <c r="B36" s="42">
        <v>4</v>
      </c>
      <c r="C36" s="35">
        <f t="shared" si="0"/>
        <v>25</v>
      </c>
      <c r="D36" s="39">
        <f t="shared" si="1"/>
        <v>8.25974020337502</v>
      </c>
      <c r="E36" s="37">
        <f>IF(B36&lt;=30,LOOKUP(B36,Sheet2!A$3:A$32,Sheet2!B$3:B$32),"&gt;490")</f>
        <v>125</v>
      </c>
      <c r="F36" s="4"/>
      <c r="G36" s="22"/>
      <c r="H36" s="41"/>
      <c r="I36" s="83"/>
      <c r="J36" s="84"/>
      <c r="K36" s="85"/>
    </row>
    <row r="37" spans="1:11">
      <c r="A37" s="33">
        <v>2</v>
      </c>
      <c r="B37" s="34">
        <v>6</v>
      </c>
      <c r="C37" s="35">
        <f t="shared" si="0"/>
        <v>16.6666666666667</v>
      </c>
      <c r="D37" s="39">
        <f t="shared" si="1"/>
        <v>14.8094114927779</v>
      </c>
      <c r="E37" s="37">
        <f>IF(B37&lt;=30,LOOKUP(B37,Sheet2!A$3:A$32,Sheet2!B$3:B$32),"&gt;490")</f>
        <v>170</v>
      </c>
      <c r="F37" s="4"/>
      <c r="G37" s="43"/>
      <c r="H37" s="22"/>
      <c r="I37" s="83"/>
      <c r="J37" s="84"/>
      <c r="K37" s="82"/>
    </row>
    <row r="38" spans="1:11">
      <c r="A38" s="40">
        <v>2.1</v>
      </c>
      <c r="B38" s="42">
        <v>8</v>
      </c>
      <c r="C38" s="35">
        <f t="shared" si="0"/>
        <v>12.5</v>
      </c>
      <c r="D38" s="39">
        <f t="shared" si="1"/>
        <v>22.4103986069841</v>
      </c>
      <c r="E38" s="37">
        <f>IF(B38&lt;=30,LOOKUP(B38,Sheet2!A$3:A$32,Sheet2!B$3:B$32),"&gt;490")</f>
        <v>200</v>
      </c>
      <c r="F38" s="4"/>
      <c r="G38" s="22"/>
      <c r="H38" s="22"/>
      <c r="I38" s="83"/>
      <c r="J38" s="84"/>
      <c r="K38" s="82"/>
    </row>
    <row r="39" spans="1:11">
      <c r="A39" s="33">
        <v>2.2</v>
      </c>
      <c r="B39" s="42">
        <v>11</v>
      </c>
      <c r="C39" s="35">
        <f t="shared" si="0"/>
        <v>9.09090909090909</v>
      </c>
      <c r="D39" s="39">
        <f t="shared" si="1"/>
        <v>35.4491206559746</v>
      </c>
      <c r="E39" s="37">
        <f>IF(B39&lt;=30,LOOKUP(B39,Sheet2!A$3:A$32,Sheet2!B$3:B$32),"&gt;490")</f>
        <v>250</v>
      </c>
      <c r="F39" s="4"/>
      <c r="G39" s="22"/>
      <c r="H39" s="22"/>
      <c r="I39" s="83"/>
      <c r="J39" s="84"/>
      <c r="K39" s="82"/>
    </row>
    <row r="40" spans="1:11">
      <c r="A40" s="40">
        <v>2.3</v>
      </c>
      <c r="B40" s="44">
        <v>11</v>
      </c>
      <c r="C40" s="35">
        <f t="shared" si="0"/>
        <v>9.09090909090909</v>
      </c>
      <c r="D40" s="39">
        <f t="shared" si="1"/>
        <v>35.4491206559746</v>
      </c>
      <c r="E40" s="37">
        <f>IF(B40&lt;=30,LOOKUP(B40,Sheet2!A$3:A$32,Sheet2!B$3:B$32),"&gt;490")</f>
        <v>250</v>
      </c>
      <c r="F40" s="4"/>
      <c r="G40" s="43"/>
      <c r="H40" s="22"/>
      <c r="I40" s="83"/>
      <c r="J40" s="84"/>
      <c r="K40" s="82"/>
    </row>
    <row r="41" spans="1:11">
      <c r="A41" s="33">
        <v>2.4</v>
      </c>
      <c r="B41" s="44">
        <v>13</v>
      </c>
      <c r="C41" s="35">
        <f t="shared" si="0"/>
        <v>7.69230769230769</v>
      </c>
      <c r="D41" s="39">
        <f t="shared" si="1"/>
        <v>45.0898122889768</v>
      </c>
      <c r="E41" s="37">
        <f>IF(B41&lt;=30,LOOKUP(B41,Sheet2!A$3:A$32,Sheet2!B$3:B$32),"&gt;490")</f>
        <v>290</v>
      </c>
      <c r="F41" s="4"/>
      <c r="G41" s="22"/>
      <c r="H41" s="22"/>
      <c r="I41" s="86"/>
      <c r="J41" s="87"/>
      <c r="K41" s="82"/>
    </row>
    <row r="42" spans="1:11">
      <c r="A42" s="40">
        <v>2.5</v>
      </c>
      <c r="B42" s="44">
        <v>16</v>
      </c>
      <c r="C42" s="35">
        <f t="shared" si="0"/>
        <v>6.25</v>
      </c>
      <c r="D42" s="39">
        <f t="shared" si="1"/>
        <v>60.8040874601239</v>
      </c>
      <c r="E42" s="37">
        <f>IF(B42&lt;=30,LOOKUP(B42,Sheet2!A$3:A$32,Sheet2!B$3:B$32),"&gt;490")</f>
        <v>340</v>
      </c>
      <c r="F42" s="4"/>
      <c r="G42" s="38"/>
      <c r="H42" s="4"/>
      <c r="I42" s="4"/>
      <c r="J42" s="4"/>
      <c r="K42" s="77"/>
    </row>
    <row r="43" spans="1:13">
      <c r="A43" s="33">
        <v>2.6</v>
      </c>
      <c r="B43" s="42">
        <v>15</v>
      </c>
      <c r="C43" s="35">
        <f t="shared" si="0"/>
        <v>6.66666666666667</v>
      </c>
      <c r="D43" s="39">
        <f t="shared" si="1"/>
        <v>55.4078646149738</v>
      </c>
      <c r="E43" s="37">
        <f>IF(B43&lt;=30,LOOKUP(B43,Sheet2!A$3:A$32,Sheet2!B$3:B$32),"&gt;490")</f>
        <v>320</v>
      </c>
      <c r="F43" s="4"/>
      <c r="G43" s="4"/>
      <c r="H43" s="4"/>
      <c r="I43" s="88"/>
      <c r="J43" s="4"/>
      <c r="K43" s="77"/>
      <c r="M43" s="89"/>
    </row>
    <row r="44" spans="1:13">
      <c r="A44" s="40">
        <v>2.7</v>
      </c>
      <c r="B44" s="42">
        <v>14</v>
      </c>
      <c r="C44" s="35">
        <f t="shared" si="0"/>
        <v>7.14285714285714</v>
      </c>
      <c r="D44" s="39">
        <f t="shared" si="1"/>
        <v>50.1677208687816</v>
      </c>
      <c r="E44" s="37">
        <f>IF(B44&lt;=30,LOOKUP(B44,Sheet2!A$3:A$32,Sheet2!B$3:B$32),"&gt;490")</f>
        <v>295</v>
      </c>
      <c r="F44" s="4"/>
      <c r="G44" s="4"/>
      <c r="H44" s="4"/>
      <c r="I44" s="57"/>
      <c r="J44" s="4"/>
      <c r="K44" s="77"/>
      <c r="M44" s="90" t="s">
        <v>29</v>
      </c>
    </row>
    <row r="45" spans="1:13">
      <c r="A45" s="33">
        <v>2.8</v>
      </c>
      <c r="B45" s="42">
        <v>18</v>
      </c>
      <c r="C45" s="35">
        <f t="shared" si="0"/>
        <v>5.55555555555556</v>
      </c>
      <c r="D45" s="39">
        <f t="shared" si="1"/>
        <v>72.0431025207288</v>
      </c>
      <c r="E45" s="37">
        <f>IF(B45&lt;=30,LOOKUP(B45,Sheet2!A$3:A$32,Sheet2!B$3:B$32),"&gt;490")</f>
        <v>360</v>
      </c>
      <c r="F45" s="4"/>
      <c r="G45" s="4"/>
      <c r="H45" s="4"/>
      <c r="I45" s="57"/>
      <c r="J45" s="4"/>
      <c r="K45" s="77"/>
      <c r="M45" s="90"/>
    </row>
    <row r="46" spans="1:13">
      <c r="A46" s="40">
        <v>2.9</v>
      </c>
      <c r="B46" s="42">
        <v>19</v>
      </c>
      <c r="C46" s="35">
        <f t="shared" si="0"/>
        <v>5.26315789473684</v>
      </c>
      <c r="D46" s="39">
        <f t="shared" si="1"/>
        <v>77.8762777477969</v>
      </c>
      <c r="E46" s="37">
        <f>IF(B46&lt;=30,LOOKUP(B46,Sheet2!A$3:A$32,Sheet2!B$3:B$32),"&gt;490")</f>
        <v>370</v>
      </c>
      <c r="F46" s="4"/>
      <c r="G46" s="4"/>
      <c r="H46" s="4"/>
      <c r="I46" s="57"/>
      <c r="J46" s="4"/>
      <c r="K46" s="77"/>
      <c r="M46" s="90"/>
    </row>
    <row r="47" ht="15" spans="1:11">
      <c r="A47" s="33">
        <v>3</v>
      </c>
      <c r="B47" s="42">
        <v>21</v>
      </c>
      <c r="C47" s="35">
        <f t="shared" si="0"/>
        <v>4.76190476190476</v>
      </c>
      <c r="D47" s="39">
        <f t="shared" si="1"/>
        <v>89.9488850384216</v>
      </c>
      <c r="E47" s="37">
        <f>IF(B47&lt;=30,LOOKUP(B47,Sheet2!A$3:A$32,Sheet2!B$3:B$32),"&gt;490")</f>
        <v>390</v>
      </c>
      <c r="F47" s="45"/>
      <c r="G47" s="4"/>
      <c r="H47" s="4"/>
      <c r="I47" s="4"/>
      <c r="J47" s="4"/>
      <c r="K47" s="77"/>
    </row>
    <row r="48" ht="13.5" spans="1:11">
      <c r="A48" s="46">
        <v>3.1</v>
      </c>
      <c r="B48" s="47"/>
      <c r="C48" s="48"/>
      <c r="D48" s="49"/>
      <c r="E48" s="50"/>
      <c r="F48" s="4"/>
      <c r="G48" s="4"/>
      <c r="H48" s="4"/>
      <c r="I48" s="4"/>
      <c r="J48" s="4"/>
      <c r="K48" s="77"/>
    </row>
    <row r="49" spans="1:11">
      <c r="A49" s="51"/>
      <c r="B49" s="52"/>
      <c r="C49" s="52"/>
      <c r="D49" s="52"/>
      <c r="E49" s="52"/>
      <c r="F49" s="52"/>
      <c r="G49" s="52"/>
      <c r="H49" s="52"/>
      <c r="I49" s="52"/>
      <c r="J49" s="52"/>
      <c r="K49" s="91"/>
    </row>
    <row r="50" ht="18" customHeight="1" spans="1:11">
      <c r="A50" s="53" t="s">
        <v>30</v>
      </c>
      <c r="B50" s="4"/>
      <c r="C50" s="4"/>
      <c r="D50" s="54" t="s">
        <v>31</v>
      </c>
      <c r="E50" s="55"/>
      <c r="F50" s="4"/>
      <c r="G50" s="4"/>
      <c r="H50" s="4"/>
      <c r="I50" s="92"/>
      <c r="J50" s="4"/>
      <c r="K50" s="77"/>
    </row>
    <row r="51" spans="1:11">
      <c r="A51" s="56"/>
      <c r="B51" s="4"/>
      <c r="C51" s="4"/>
      <c r="D51" s="54" t="s">
        <v>32</v>
      </c>
      <c r="E51" s="55"/>
      <c r="F51" s="4"/>
      <c r="G51" s="4"/>
      <c r="H51" s="4"/>
      <c r="I51" s="92"/>
      <c r="J51" s="4"/>
      <c r="K51" s="77"/>
    </row>
    <row r="52" spans="1:11">
      <c r="A52" s="3"/>
      <c r="B52" s="4"/>
      <c r="C52" s="4"/>
      <c r="D52" s="55"/>
      <c r="E52" s="55"/>
      <c r="F52" s="4"/>
      <c r="G52" s="4"/>
      <c r="H52" s="4"/>
      <c r="I52" s="92"/>
      <c r="J52" s="4"/>
      <c r="K52" s="77"/>
    </row>
    <row r="53" spans="1:11">
      <c r="A53" s="3"/>
      <c r="B53" s="4"/>
      <c r="C53" s="4"/>
      <c r="D53" s="4"/>
      <c r="E53" s="4"/>
      <c r="F53" s="4"/>
      <c r="G53" s="4"/>
      <c r="H53" s="4"/>
      <c r="I53" s="92"/>
      <c r="J53" s="4"/>
      <c r="K53" s="77"/>
    </row>
    <row r="54" spans="1:11">
      <c r="A54" s="3"/>
      <c r="B54" s="4"/>
      <c r="C54" s="4"/>
      <c r="D54" s="57"/>
      <c r="E54" s="57"/>
      <c r="F54" s="4"/>
      <c r="G54" s="4"/>
      <c r="H54" s="4"/>
      <c r="I54" s="92"/>
      <c r="J54" s="4"/>
      <c r="K54" s="77"/>
    </row>
    <row r="55" ht="15.75" customHeight="1" spans="1:11">
      <c r="A55" s="58"/>
      <c r="B55" s="52"/>
      <c r="C55" s="52"/>
      <c r="D55" s="59"/>
      <c r="E55" s="59"/>
      <c r="F55" s="52"/>
      <c r="G55" s="52"/>
      <c r="H55" s="60"/>
      <c r="I55" s="92"/>
      <c r="J55" s="4"/>
      <c r="K55" s="77"/>
    </row>
    <row r="56" spans="1:11">
      <c r="A56" s="3"/>
      <c r="B56" s="4"/>
      <c r="C56" s="4"/>
      <c r="D56" s="4"/>
      <c r="E56" s="4"/>
      <c r="F56" s="4"/>
      <c r="G56" s="4"/>
      <c r="H56" s="4"/>
      <c r="I56" s="92"/>
      <c r="J56" s="4"/>
      <c r="K56" s="77"/>
    </row>
    <row r="57" spans="1:11">
      <c r="A57" s="61" t="s">
        <v>33</v>
      </c>
      <c r="B57" s="4"/>
      <c r="C57" s="4"/>
      <c r="D57" s="4"/>
      <c r="E57" s="4"/>
      <c r="F57" s="17" t="s">
        <v>34</v>
      </c>
      <c r="G57" s="4"/>
      <c r="H57" s="62"/>
      <c r="I57" s="26"/>
      <c r="J57" s="52"/>
      <c r="K57" s="91"/>
    </row>
    <row r="58" spans="1:11">
      <c r="A58" s="3"/>
      <c r="B58" s="4"/>
      <c r="C58" s="4"/>
      <c r="D58" s="4"/>
      <c r="E58" s="4"/>
      <c r="F58" s="4"/>
      <c r="G58" s="4"/>
      <c r="H58" s="4"/>
      <c r="I58" s="93" t="s">
        <v>35</v>
      </c>
      <c r="J58" s="4"/>
      <c r="K58" s="77"/>
    </row>
    <row r="59" ht="13.5" spans="1:11">
      <c r="A59" s="63" t="s">
        <v>36</v>
      </c>
      <c r="B59" s="64"/>
      <c r="C59" s="64"/>
      <c r="D59" s="64"/>
      <c r="E59" s="64"/>
      <c r="F59" s="64"/>
      <c r="G59" s="64"/>
      <c r="H59" s="64"/>
      <c r="I59" s="94" t="s">
        <v>37</v>
      </c>
      <c r="J59" s="64"/>
      <c r="K59" s="95"/>
    </row>
  </sheetData>
  <mergeCells count="2">
    <mergeCell ref="A6:K6"/>
    <mergeCell ref="N10:P10"/>
  </mergeCells>
  <pageMargins left="0.75" right="0.75" top="1" bottom="1" header="0.5" footer="0.5"/>
  <pageSetup paperSize="9" scale="88" orientation="portrait"/>
  <headerFooter alignWithMargins="0"/>
  <colBreaks count="1" manualBreakCount="1">
    <brk id="11" max="1048575" man="1"/>
  </col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2"/>
  <sheetViews>
    <sheetView workbookViewId="0">
      <selection activeCell="A33" sqref="A33"/>
    </sheetView>
  </sheetViews>
  <sheetFormatPr defaultColWidth="9" defaultRowHeight="12.75" outlineLevelCol="1"/>
  <cols>
    <col min="1" max="1" width="15" customWidth="1"/>
    <col min="2" max="2" width="18.2857142857143" customWidth="1"/>
  </cols>
  <sheetData>
    <row r="1" spans="1:2">
      <c r="A1" t="s">
        <v>38</v>
      </c>
      <c r="B1" t="s">
        <v>39</v>
      </c>
    </row>
    <row r="2" spans="2:2">
      <c r="B2" t="s">
        <v>40</v>
      </c>
    </row>
    <row r="3" spans="1:2">
      <c r="A3">
        <v>1</v>
      </c>
      <c r="B3">
        <v>38</v>
      </c>
    </row>
    <row r="4" spans="1:2">
      <c r="A4">
        <v>2</v>
      </c>
      <c r="B4">
        <v>70</v>
      </c>
    </row>
    <row r="5" spans="1:2">
      <c r="A5">
        <v>3</v>
      </c>
      <c r="B5">
        <v>100</v>
      </c>
    </row>
    <row r="6" spans="1:2">
      <c r="A6">
        <v>4</v>
      </c>
      <c r="B6">
        <v>125</v>
      </c>
    </row>
    <row r="7" spans="1:2">
      <c r="A7">
        <v>5</v>
      </c>
      <c r="B7">
        <v>148</v>
      </c>
    </row>
    <row r="8" spans="1:2">
      <c r="A8">
        <v>6</v>
      </c>
      <c r="B8">
        <v>170</v>
      </c>
    </row>
    <row r="9" spans="1:2">
      <c r="A9">
        <v>7</v>
      </c>
      <c r="B9">
        <v>185</v>
      </c>
    </row>
    <row r="10" spans="1:2">
      <c r="A10">
        <v>8</v>
      </c>
      <c r="B10">
        <v>200</v>
      </c>
    </row>
    <row r="11" spans="1:2">
      <c r="A11">
        <v>9</v>
      </c>
      <c r="B11">
        <v>225</v>
      </c>
    </row>
    <row r="12" spans="1:2">
      <c r="A12">
        <v>10</v>
      </c>
      <c r="B12">
        <v>240</v>
      </c>
    </row>
    <row r="13" spans="1:2">
      <c r="A13">
        <v>11</v>
      </c>
      <c r="B13">
        <v>250</v>
      </c>
    </row>
    <row r="14" spans="1:2">
      <c r="A14">
        <v>12</v>
      </c>
      <c r="B14">
        <v>275</v>
      </c>
    </row>
    <row r="15" spans="1:2">
      <c r="A15">
        <v>13</v>
      </c>
      <c r="B15">
        <v>290</v>
      </c>
    </row>
    <row r="16" spans="1:2">
      <c r="A16">
        <v>14</v>
      </c>
      <c r="B16">
        <v>295</v>
      </c>
    </row>
    <row r="17" spans="1:2">
      <c r="A17">
        <v>15</v>
      </c>
      <c r="B17">
        <v>320</v>
      </c>
    </row>
    <row r="18" spans="1:2">
      <c r="A18">
        <v>16</v>
      </c>
      <c r="B18">
        <v>340</v>
      </c>
    </row>
    <row r="19" spans="1:2">
      <c r="A19">
        <v>17</v>
      </c>
      <c r="B19">
        <v>350</v>
      </c>
    </row>
    <row r="20" spans="1:2">
      <c r="A20">
        <v>18</v>
      </c>
      <c r="B20">
        <v>360</v>
      </c>
    </row>
    <row r="21" spans="1:2">
      <c r="A21">
        <v>19</v>
      </c>
      <c r="B21">
        <v>370</v>
      </c>
    </row>
    <row r="22" spans="1:2">
      <c r="A22">
        <v>20</v>
      </c>
      <c r="B22">
        <v>380</v>
      </c>
    </row>
    <row r="23" spans="1:2">
      <c r="A23">
        <v>21</v>
      </c>
      <c r="B23">
        <v>390</v>
      </c>
    </row>
    <row r="24" spans="1:2">
      <c r="A24">
        <v>22</v>
      </c>
      <c r="B24">
        <v>400</v>
      </c>
    </row>
    <row r="25" spans="1:2">
      <c r="A25">
        <v>23</v>
      </c>
      <c r="B25">
        <v>410</v>
      </c>
    </row>
    <row r="26" spans="1:2">
      <c r="A26">
        <v>24</v>
      </c>
      <c r="B26">
        <v>420</v>
      </c>
    </row>
    <row r="27" spans="1:2">
      <c r="A27">
        <v>25</v>
      </c>
      <c r="B27">
        <v>430</v>
      </c>
    </row>
    <row r="28" spans="1:2">
      <c r="A28">
        <v>26</v>
      </c>
      <c r="B28">
        <v>440</v>
      </c>
    </row>
    <row r="29" spans="1:2">
      <c r="A29">
        <v>27</v>
      </c>
      <c r="B29">
        <v>450</v>
      </c>
    </row>
    <row r="30" spans="1:2">
      <c r="A30">
        <v>28</v>
      </c>
      <c r="B30">
        <v>460</v>
      </c>
    </row>
    <row r="31" spans="1:2">
      <c r="A31">
        <v>29</v>
      </c>
      <c r="B31">
        <v>480</v>
      </c>
    </row>
    <row r="32" spans="1:2">
      <c r="A32">
        <v>30</v>
      </c>
      <c r="B32">
        <v>490</v>
      </c>
    </row>
  </sheetData>
  <pageMargins left="0.75" right="0.75" top="1" bottom="1" header="0.5" footer="0.5"/>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48" sqref="C48"/>
    </sheetView>
  </sheetViews>
  <sheetFormatPr defaultColWidth="9" defaultRowHeight="12.75"/>
  <sheetData/>
  <pageMargins left="0.75" right="0.75" top="1" bottom="1" header="0.5" footer="0.5"/>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Company>WORKS</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ABLE VALUED CLIENT</dc:creator>
  <cp:lastModifiedBy>Leka Heve Bonoro</cp:lastModifiedBy>
  <dcterms:created xsi:type="dcterms:W3CDTF">2007-06-14T10:52:00Z</dcterms:created>
  <cp:lastPrinted>2022-04-12T03:33:00Z</cp:lastPrinted>
  <dcterms:modified xsi:type="dcterms:W3CDTF">2025-07-06T11:41:05Z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C295937F4B6B402CAD5A4E45049CD776_13</vt:lpwstr>
  </property>
  <property fmtid="{D5CDD505-2E9C-101B-9397-08002B2CF9AE}" pid="3" name="KSOProductBuildVer">
    <vt:lpwstr>1033-12.2.0.21546</vt:lpwstr>
  </property>
</Properties>
</file>
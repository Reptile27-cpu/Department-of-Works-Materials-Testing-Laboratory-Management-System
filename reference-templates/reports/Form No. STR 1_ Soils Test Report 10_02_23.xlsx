
<file path=[Content_Types].xml><?xml version="1.0" encoding="utf-8"?>
<Types xmlns="http://schemas.openxmlformats.org/package/2006/content-types">
  <Default Extension="wmf" ContentType="image/x-wmf"/>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trlProps/ctrlProp1.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ustomStorage/customStorage.xml" ContentType="application/vnd.wps-officedocument.customStor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500" tabRatio="500"/>
  </bookViews>
  <sheets>
    <sheet name="Feuil1" sheetId="1" r:id="rId1"/>
  </sheets>
  <definedNames>
    <definedName name="_xlnm.Print_Area" localSheetId="0">Feuil1!$A$1:$M$62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<sst xmlns="http://schemas.openxmlformats.org/spreadsheetml/2006/main" count="179" uniqueCount="133">
  <si>
    <t>DEPARTMENT OF WORKS &amp; HIGHWAYS</t>
  </si>
  <si>
    <t xml:space="preserve"> REPORT No.</t>
  </si>
  <si>
    <t>MATERIAL SCIENCE &amp; TECHNOLOGY BRANCH</t>
  </si>
  <si>
    <t>22P-141</t>
  </si>
  <si>
    <t>Materials Testing Laboratory</t>
  </si>
  <si>
    <t>File No.</t>
  </si>
  <si>
    <t>42-60-C01</t>
  </si>
  <si>
    <r>
      <rPr>
        <b/>
        <sz val="18"/>
        <color rgb="FF000000"/>
        <rFont val="Calibri"/>
        <charset val="134"/>
        <scheme val="minor"/>
      </rPr>
      <t xml:space="preserve">  Port Moresby</t>
    </r>
    <r>
      <rPr>
        <b/>
        <vertAlign val="superscript"/>
        <sz val="18"/>
        <color rgb="FF000000"/>
        <rFont val="Calibri"/>
        <charset val="134"/>
        <scheme val="minor"/>
      </rPr>
      <t xml:space="preserve"> (1)</t>
    </r>
  </si>
  <si>
    <t>Lae</t>
  </si>
  <si>
    <t>Mt Hagen</t>
  </si>
  <si>
    <t>Annex Lab _____</t>
  </si>
  <si>
    <t>Date:</t>
  </si>
  <si>
    <t>Page      10</t>
  </si>
  <si>
    <t>of</t>
  </si>
  <si>
    <t>SOIL TEST REPORT</t>
  </si>
  <si>
    <t xml:space="preserve">CLIENT: </t>
  </si>
  <si>
    <t>SAMPLE / LAB No:</t>
  </si>
  <si>
    <t>PROJECT:</t>
  </si>
  <si>
    <t>SAMPLED BY:</t>
  </si>
  <si>
    <t>LOCATION:</t>
  </si>
  <si>
    <t>SAMPLING DATE:</t>
  </si>
  <si>
    <t>MATERIAL DESCRIPTION:</t>
  </si>
  <si>
    <t xml:space="preserve">MATERIAL SOURCE: </t>
  </si>
  <si>
    <t>Source Material Group</t>
  </si>
  <si>
    <t>Usage</t>
  </si>
  <si>
    <t xml:space="preserve">Specification </t>
  </si>
  <si>
    <t>Grading</t>
  </si>
  <si>
    <t xml:space="preserve">        Acid Igneous                               Sedimentary Duricrust</t>
  </si>
  <si>
    <t xml:space="preserve">       Road Base Course</t>
  </si>
  <si>
    <t xml:space="preserve">DoW's Type              1               2                3                 </t>
  </si>
  <si>
    <t>DoW's</t>
  </si>
  <si>
    <t xml:space="preserve">        Intermediate Igneous             Natural Gravel</t>
  </si>
  <si>
    <t xml:space="preserve">       Sub Base Course</t>
  </si>
  <si>
    <t>Sub-type             1             2           3          4          5</t>
  </si>
  <si>
    <t xml:space="preserve">    A           B        C        D          E</t>
  </si>
  <si>
    <t xml:space="preserve">        Metamorphic                             Coronous</t>
  </si>
  <si>
    <t xml:space="preserve">       Backfill</t>
  </si>
  <si>
    <t xml:space="preserve">Other … </t>
  </si>
  <si>
    <t>Other …</t>
  </si>
  <si>
    <t xml:space="preserve">        Base Igneous                 Other:</t>
  </si>
  <si>
    <t xml:space="preserve">       Other ____________</t>
  </si>
  <si>
    <t xml:space="preserve"> TP Sample</t>
  </si>
  <si>
    <r>
      <rPr>
        <b/>
        <sz val="16"/>
        <rFont val="Arial"/>
        <charset val="134"/>
      </rPr>
      <t xml:space="preserve">Natural Water Content   </t>
    </r>
    <r>
      <rPr>
        <sz val="14"/>
        <rFont val="Arial"/>
        <charset val="134"/>
      </rPr>
      <t>AS 1289 2.1.1</t>
    </r>
  </si>
  <si>
    <r>
      <rPr>
        <b/>
        <sz val="16"/>
        <rFont val="Arial"/>
        <charset val="134"/>
      </rPr>
      <t xml:space="preserve">Dry Density / Moist. Content </t>
    </r>
    <r>
      <rPr>
        <sz val="14"/>
        <rFont val="Arial"/>
        <charset val="134"/>
      </rPr>
      <t>AS 1289 5.1.1 or 5.2.1</t>
    </r>
  </si>
  <si>
    <r>
      <rPr>
        <b/>
        <sz val="16"/>
        <rFont val="Arial"/>
        <charset val="134"/>
      </rPr>
      <t>California Bearing Ratio</t>
    </r>
    <r>
      <rPr>
        <sz val="16"/>
        <rFont val="Arial"/>
        <charset val="134"/>
      </rPr>
      <t xml:space="preserve"> </t>
    </r>
    <r>
      <rPr>
        <sz val="14"/>
        <rFont val="Arial"/>
        <charset val="134"/>
      </rPr>
      <t>AS 1289 6.1.1  Specification</t>
    </r>
  </si>
  <si>
    <t xml:space="preserve">  Nat. Water Content</t>
  </si>
  <si>
    <t xml:space="preserve">  Maximum Dry Density</t>
  </si>
  <si>
    <t>NT</t>
  </si>
  <si>
    <t xml:space="preserve">  CBR Value</t>
  </si>
  <si>
    <r>
      <rPr>
        <b/>
        <sz val="16"/>
        <rFont val="Arial"/>
        <charset val="134"/>
      </rPr>
      <t xml:space="preserve">Limits   </t>
    </r>
    <r>
      <rPr>
        <sz val="14"/>
        <rFont val="Arial"/>
        <charset val="134"/>
      </rPr>
      <t>AS 1289 3.1.1, 3.1.2, 3.9, 3.3.1, 3.3.2</t>
    </r>
  </si>
  <si>
    <t>Specification</t>
  </si>
  <si>
    <t xml:space="preserve">  Moisture Content</t>
  </si>
  <si>
    <t xml:space="preserve">  Penetration</t>
  </si>
  <si>
    <t xml:space="preserve">  Liquid Limit *</t>
  </si>
  <si>
    <t xml:space="preserve">                  Standard                     Modified</t>
  </si>
  <si>
    <t xml:space="preserve">  Moisture &gt; 30 mm</t>
  </si>
  <si>
    <t xml:space="preserve">  Plastic Limit </t>
  </si>
  <si>
    <t>% &gt; 19 mm</t>
  </si>
  <si>
    <t xml:space="preserve">   Crushed       Discarded</t>
  </si>
  <si>
    <t xml:space="preserve">  Mass of Surcharge</t>
  </si>
  <si>
    <t xml:space="preserve">  Plasticity Index </t>
  </si>
  <si>
    <r>
      <rPr>
        <b/>
        <sz val="16"/>
        <rFont val="Arial"/>
        <charset val="134"/>
      </rPr>
      <t>Wet/Dry Strength</t>
    </r>
    <r>
      <rPr>
        <sz val="14"/>
        <rFont val="Arial"/>
        <charset val="134"/>
      </rPr>
      <t xml:space="preserve">  AS1141.22</t>
    </r>
  </si>
  <si>
    <t xml:space="preserve">  Period of Soaking</t>
  </si>
  <si>
    <r>
      <rPr>
        <sz val="16"/>
        <rFont val="Arial"/>
        <charset val="134"/>
      </rPr>
      <t xml:space="preserve">  Plastic Modulus</t>
    </r>
    <r>
      <rPr>
        <sz val="12"/>
        <rFont val="Arial"/>
        <charset val="134"/>
      </rPr>
      <t xml:space="preserve"> (PI/</t>
    </r>
    <r>
      <rPr>
        <sz val="14"/>
        <rFont val="Apple Symbols"/>
        <charset val="134"/>
      </rPr>
      <t>%</t>
    </r>
    <r>
      <rPr>
        <sz val="12"/>
        <rFont val="Arial"/>
        <charset val="134"/>
      </rPr>
      <t>0.425)</t>
    </r>
  </si>
  <si>
    <t>-</t>
  </si>
  <si>
    <t xml:space="preserve">  Wet Strength</t>
  </si>
  <si>
    <t xml:space="preserve"> </t>
  </si>
  <si>
    <r>
      <rPr>
        <sz val="16"/>
        <rFont val="Arial"/>
        <charset val="134"/>
      </rPr>
      <t>*</t>
    </r>
    <r>
      <rPr>
        <sz val="14"/>
        <rFont val="Arial"/>
        <charset val="134"/>
      </rPr>
      <t xml:space="preserve">         Atterberg 4 pts (3.1.1)          1 pt (3.1.2)        Cone (3.9)</t>
    </r>
  </si>
  <si>
    <t xml:space="preserve">  Dry Strenght</t>
  </si>
  <si>
    <r>
      <rPr>
        <b/>
        <sz val="16"/>
        <rFont val="Arial"/>
        <charset val="134"/>
      </rPr>
      <t>Los Angeles Value</t>
    </r>
    <r>
      <rPr>
        <sz val="14"/>
        <rFont val="Arial"/>
        <charset val="134"/>
      </rPr>
      <t xml:space="preserve">  AS1141.23</t>
    </r>
  </si>
  <si>
    <t xml:space="preserve">      Nat State            Air Dried            Oven Dried</t>
  </si>
  <si>
    <t xml:space="preserve">  W/D Strength Var. </t>
  </si>
  <si>
    <t xml:space="preserve">  LA value</t>
  </si>
  <si>
    <t xml:space="preserve">      Wet Sieved                 Dry Sieved</t>
  </si>
  <si>
    <t xml:space="preserve">  Size test cylinder</t>
  </si>
  <si>
    <t xml:space="preserve">  Test Grading</t>
  </si>
  <si>
    <r>
      <rPr>
        <b/>
        <sz val="16"/>
        <rFont val="Arial"/>
        <charset val="134"/>
      </rPr>
      <t xml:space="preserve">Linear Shrinkage   </t>
    </r>
    <r>
      <rPr>
        <sz val="14"/>
        <rFont val="Arial"/>
        <charset val="134"/>
      </rPr>
      <t>AS 1289 3.4.1</t>
    </r>
  </si>
  <si>
    <r>
      <rPr>
        <b/>
        <sz val="16"/>
        <rFont val="Arial"/>
        <charset val="134"/>
      </rPr>
      <t>Flakiness Index</t>
    </r>
    <r>
      <rPr>
        <sz val="14"/>
        <rFont val="Arial"/>
        <charset val="134"/>
      </rPr>
      <t xml:space="preserve">  AS1141.15</t>
    </r>
  </si>
  <si>
    <r>
      <rPr>
        <b/>
        <sz val="16"/>
        <rFont val="Arial"/>
        <charset val="134"/>
      </rPr>
      <t>PARTICLE SIZE DISTRIBUTION</t>
    </r>
  </si>
  <si>
    <t xml:space="preserve">  Longitudinal Shrinkage</t>
  </si>
  <si>
    <t xml:space="preserve">  Index</t>
  </si>
  <si>
    <t>Washed</t>
  </si>
  <si>
    <t>Not Washed</t>
  </si>
  <si>
    <r>
      <rPr>
        <sz val="16"/>
        <rFont val="Arial"/>
        <charset val="134"/>
      </rPr>
      <t xml:space="preserve">  Shrinkage Modulus</t>
    </r>
    <r>
      <rPr>
        <sz val="12"/>
        <rFont val="Arial"/>
        <charset val="134"/>
      </rPr>
      <t xml:space="preserve"> (LS/%0.425)</t>
    </r>
  </si>
  <si>
    <t>%</t>
  </si>
  <si>
    <r>
      <rPr>
        <b/>
        <sz val="16"/>
        <rFont val="Arial"/>
        <charset val="134"/>
      </rPr>
      <t>Sodiun Sulfate Soundness</t>
    </r>
    <r>
      <rPr>
        <sz val="14"/>
        <rFont val="Arial"/>
        <charset val="134"/>
      </rPr>
      <t xml:space="preserve"> AS1141.24</t>
    </r>
  </si>
  <si>
    <t>AS Sieve size</t>
  </si>
  <si>
    <t>% Passing</t>
  </si>
  <si>
    <t xml:space="preserve">      Cracking              Crumbling             Curling </t>
  </si>
  <si>
    <t xml:space="preserve">  Weighted loss - fine</t>
  </si>
  <si>
    <t>Min</t>
  </si>
  <si>
    <t>Max</t>
  </si>
  <si>
    <r>
      <rPr>
        <b/>
        <sz val="16"/>
        <rFont val="Arial"/>
        <charset val="134"/>
      </rPr>
      <t xml:space="preserve">Soil Particle Density   </t>
    </r>
    <r>
      <rPr>
        <sz val="14"/>
        <rFont val="Arial"/>
        <charset val="134"/>
      </rPr>
      <t>AS 1289 3.5.1</t>
    </r>
  </si>
  <si>
    <t xml:space="preserve">  Weighted loss-coarse</t>
  </si>
  <si>
    <t>mm</t>
  </si>
  <si>
    <t xml:space="preserve">  Appar. Density &lt; 2.36</t>
  </si>
  <si>
    <t xml:space="preserve">  Weighted loss - mix</t>
  </si>
  <si>
    <r>
      <rPr>
        <sz val="16"/>
        <rFont val="Arial"/>
        <charset val="134"/>
      </rPr>
      <t xml:space="preserve">  Appar. Density </t>
    </r>
    <r>
      <rPr>
        <u/>
        <sz val="16"/>
        <rFont val="Arial"/>
        <charset val="134"/>
      </rPr>
      <t>&gt;</t>
    </r>
    <r>
      <rPr>
        <sz val="16"/>
        <rFont val="Arial"/>
        <charset val="134"/>
      </rPr>
      <t xml:space="preserve"> 2.36</t>
    </r>
  </si>
  <si>
    <r>
      <rPr>
        <b/>
        <sz val="16"/>
        <rFont val="Arial"/>
        <charset val="134"/>
      </rPr>
      <t xml:space="preserve">Fracturated Faces </t>
    </r>
    <r>
      <rPr>
        <b/>
        <sz val="14"/>
        <rFont val="Arial"/>
        <charset val="134"/>
      </rPr>
      <t xml:space="preserve"> </t>
    </r>
    <r>
      <rPr>
        <sz val="14"/>
        <rFont val="Arial"/>
        <charset val="134"/>
      </rPr>
      <t>QTT215</t>
    </r>
  </si>
  <si>
    <t xml:space="preserve">  Soil Particle Density</t>
  </si>
  <si>
    <t xml:space="preserve">  Average FF</t>
  </si>
  <si>
    <r>
      <rPr>
        <b/>
        <sz val="16"/>
        <rFont val="Arial"/>
        <charset val="134"/>
      </rPr>
      <t xml:space="preserve">Crushed Particles  </t>
    </r>
    <r>
      <rPr>
        <sz val="16"/>
        <rFont val="Arial"/>
        <charset val="134"/>
      </rPr>
      <t>AS 1141.18</t>
    </r>
  </si>
  <si>
    <r>
      <rPr>
        <b/>
        <sz val="16"/>
        <rFont val="Arial"/>
        <charset val="134"/>
      </rPr>
      <t xml:space="preserve">Aggregate Crushing Value </t>
    </r>
    <r>
      <rPr>
        <b/>
        <sz val="14"/>
        <rFont val="Arial"/>
        <charset val="134"/>
      </rPr>
      <t xml:space="preserve"> AS1141.21</t>
    </r>
  </si>
  <si>
    <t>Percentage of Crushed</t>
  </si>
  <si>
    <t>AC Value</t>
  </si>
  <si>
    <t>Percentage of Uncrushed</t>
  </si>
  <si>
    <t>Size Fraction Tested</t>
  </si>
  <si>
    <r>
      <rPr>
        <b/>
        <sz val="16"/>
        <rFont val="Arial"/>
        <charset val="134"/>
      </rPr>
      <t xml:space="preserve">PARTICLE SIZE DISTRIBUTION </t>
    </r>
    <r>
      <rPr>
        <sz val="14"/>
        <rFont val="Arial"/>
        <charset val="134"/>
      </rPr>
      <t xml:space="preserve">  AS 1289 3.6.1 and AS 1141 11.4</t>
    </r>
  </si>
  <si>
    <t>For Coronous</t>
  </si>
  <si>
    <t>Cu (Mod) =</t>
  </si>
  <si>
    <t>NR</t>
  </si>
  <si>
    <t>For non coronous</t>
  </si>
  <si>
    <t>Cc (Mod) =</t>
  </si>
  <si>
    <t>Ratio 0.075 / 0.425 =</t>
  </si>
  <si>
    <t>SUMMARY:</t>
  </si>
  <si>
    <t>GRAVEL</t>
  </si>
  <si>
    <t>SAND</t>
  </si>
  <si>
    <t>CLAY &amp; SILT</t>
  </si>
  <si>
    <t>PNGLAS Accredited Laboratory</t>
  </si>
  <si>
    <t>NT - NOT TESTED</t>
  </si>
  <si>
    <t>QR / BAR CODE</t>
  </si>
  <si>
    <t>HERE</t>
  </si>
  <si>
    <t>Approved Signatory</t>
  </si>
  <si>
    <r>
      <rPr>
        <vertAlign val="superscript"/>
        <sz val="26"/>
        <color theme="1"/>
        <rFont val="Calibri"/>
        <charset val="134"/>
        <scheme val="minor"/>
      </rPr>
      <t>(1) Lab (LAE) not accredited for tests no. QTT 215</t>
    </r>
  </si>
  <si>
    <t>Name: Leka H Bonoro</t>
  </si>
  <si>
    <t>Signature</t>
  </si>
  <si>
    <t>Date</t>
  </si>
  <si>
    <t>FORM No. : STR 1</t>
  </si>
  <si>
    <t>Authorised by: AS(MST)</t>
  </si>
  <si>
    <t xml:space="preserve">Revised date:     </t>
  </si>
  <si>
    <t>lhb</t>
  </si>
  <si>
    <r>
      <rPr>
        <sz val="16"/>
        <color theme="1"/>
        <rFont val="Calibri"/>
        <charset val="134"/>
        <scheme val="minor"/>
      </rPr>
      <t>(1) Lab (LAE) not accredited for tests n</t>
    </r>
    <r>
      <rPr>
        <vertAlign val="superscript"/>
        <sz val="16"/>
        <color theme="1"/>
        <rFont val="Calibri"/>
        <charset val="134"/>
        <scheme val="minor"/>
      </rPr>
      <t>o</t>
    </r>
    <r>
      <rPr>
        <sz val="16"/>
        <color theme="1"/>
        <rFont val="Calibri"/>
        <charset val="134"/>
        <scheme val="minor"/>
      </rPr>
      <t>. AS 1289 3.9 and QTT 215</t>
    </r>
  </si>
  <si>
    <r>
      <rPr>
        <sz val="16"/>
        <color theme="1"/>
        <rFont val="Calibri"/>
        <charset val="134"/>
        <scheme val="minor"/>
      </rPr>
      <t>(1) Lab (Hagen) not accredited for tests n</t>
    </r>
    <r>
      <rPr>
        <vertAlign val="superscript"/>
        <sz val="16"/>
        <color theme="1"/>
        <rFont val="Calibri"/>
        <charset val="134"/>
        <scheme val="minor"/>
      </rPr>
      <t>o</t>
    </r>
    <r>
      <rPr>
        <sz val="16"/>
        <color theme="1"/>
        <rFont val="Calibri"/>
        <charset val="134"/>
        <scheme val="minor"/>
      </rPr>
      <t>. AS 1289 3.5.1, 3.9, AS 1141 24 and QTT 215</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</si>
</sst>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0.00###\ &quot;t/m3&quot;"/>
    <numFmt numFmtId="180" formatCode="0.00###\ &quot;mm&quot;"/>
    <numFmt numFmtId="181" formatCode="0.00###\ &quot;kg&quot;"/>
  </numFmts>
  <fonts count="55">
    <font>
      <sz val="12"/>
      <color theme="1"/>
      <name val="Calibri"/>
      <charset val="134"/>
      <scheme val="minor"/>
    </font>
    <font>
      <sz val="16"/>
      <color theme="1"/>
      <name val="Calibri"/>
      <charset val="134"/>
      <scheme val="minor"/>
    </font>
    <font>
      <sz val="14"/>
      <color theme="1"/>
      <name val="Calibri"/>
      <charset val="134"/>
      <scheme val="minor"/>
    </font>
    <font>
      <sz val="16"/>
      <name val="Arial"/>
      <charset val="134"/>
    </font>
    <font>
      <b/>
      <sz val="24"/>
      <color rgb="FF000000"/>
      <name val="Calibri"/>
      <charset val="134"/>
    </font>
    <font>
      <b/>
      <sz val="28"/>
      <color rgb="FF00B050"/>
      <name val="Calibri"/>
      <charset val="134"/>
    </font>
    <font>
      <b/>
      <sz val="24"/>
      <color rgb="FFC00000"/>
      <name val="Calibri"/>
      <charset val="134"/>
    </font>
    <font>
      <b/>
      <sz val="16"/>
      <name val="Arial"/>
      <charset val="134"/>
    </font>
    <font>
      <sz val="18"/>
      <name val="Calibri"/>
      <charset val="134"/>
      <scheme val="minor"/>
    </font>
    <font>
      <b/>
      <sz val="18"/>
      <color rgb="FF000000"/>
      <name val="Calibri"/>
      <charset val="134"/>
      <scheme val="minor"/>
    </font>
    <font>
      <b/>
      <sz val="18"/>
      <name val="Calibri"/>
      <charset val="134"/>
      <scheme val="minor"/>
    </font>
    <font>
      <b/>
      <sz val="18"/>
      <name val="Arial"/>
      <charset val="134"/>
    </font>
    <font>
      <sz val="18"/>
      <name val="Arial"/>
      <charset val="134"/>
    </font>
    <font>
      <b/>
      <sz val="28"/>
      <name val="Comic Sans MS"/>
      <charset val="134"/>
    </font>
    <font>
      <u/>
      <sz val="16"/>
      <color theme="1"/>
      <name val="Calibri"/>
      <charset val="134"/>
      <scheme val="minor"/>
    </font>
    <font>
      <b/>
      <sz val="16"/>
      <color rgb="FFFF0000"/>
      <name val="Arial"/>
      <charset val="134"/>
    </font>
    <font>
      <sz val="14"/>
      <name val="Arial"/>
      <charset val="134"/>
    </font>
    <font>
      <sz val="14"/>
      <color theme="1"/>
      <name val="Arial"/>
      <charset val="134"/>
    </font>
    <font>
      <sz val="16"/>
      <color theme="1"/>
      <name val="Arial"/>
      <charset val="134"/>
    </font>
    <font>
      <b/>
      <u/>
      <sz val="16"/>
      <color theme="1"/>
      <name val="Arial"/>
      <charset val="134"/>
    </font>
    <font>
      <b/>
      <u/>
      <sz val="16"/>
      <name val="Arial"/>
      <charset val="134"/>
    </font>
    <font>
      <b/>
      <i/>
      <sz val="16"/>
      <name val="Arial"/>
      <charset val="134"/>
    </font>
    <font>
      <b/>
      <sz val="12"/>
      <name val="Arial"/>
      <charset val="134"/>
    </font>
    <font>
      <b/>
      <sz val="14"/>
      <color rgb="FF000000"/>
      <name val="Arial"/>
      <charset val="134"/>
    </font>
    <font>
      <sz val="14"/>
      <color rgb="FF000000"/>
      <name val="Arial"/>
      <charset val="134"/>
    </font>
    <font>
      <b/>
      <sz val="16"/>
      <color theme="1"/>
      <name val="Arial"/>
      <charset val="134"/>
    </font>
    <font>
      <b/>
      <sz val="20"/>
      <name val="Arial"/>
      <charset val="134"/>
    </font>
    <font>
      <b/>
      <sz val="14"/>
      <name val="Arial"/>
      <charset val="134"/>
    </font>
    <font>
      <b/>
      <sz val="18"/>
      <color rgb="FF3366FF"/>
      <name val="Arial"/>
      <charset val="134"/>
    </font>
    <font>
      <sz val="26"/>
      <color theme="1"/>
      <name val="Calibri"/>
      <charset val="134"/>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vertAlign val="superscript"/>
      <sz val="16"/>
      <color theme="1"/>
      <name val="Calibri"/>
      <charset val="134"/>
      <scheme val="minor"/>
    </font>
    <font>
      <b/>
      <vertAlign val="superscript"/>
      <sz val="18"/>
      <color rgb="FF000000"/>
      <name val="Calibri"/>
      <charset val="134"/>
      <scheme val="minor"/>
    </font>
    <font>
      <u/>
      <sz val="16"/>
      <name val="Arial"/>
      <charset val="134"/>
    </font>
    <font>
      <vertAlign val="superscript"/>
      <sz val="26"/>
      <color theme="1"/>
      <name val="Calibri"/>
      <charset val="134"/>
      <scheme val="minor"/>
    </font>
    <font>
      <sz val="12"/>
      <name val="Arial"/>
      <charset val="134"/>
    </font>
    <font>
      <sz val="14"/>
      <name val="Apple Symbols"/>
      <charset val="134"/>
    </font>
  </fonts>
  <fills count="37">
    <fill>
      <patternFill patternType="none"/>
    </fill>
    <fill>
      <patternFill patternType="gray125"/>
    </fill>
    <fill>
      <patternFill patternType="solid">
        <fgColor indexed="9"/>
        <bgColor indexed="64"/>
      </patternFill>
    </fill>
    <fill>
      <patternFill patternType="solid">
        <fgColor theme="0" tint="-0.149998474074526"/>
        <bgColor indexed="64"/>
      </patternFill>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0">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thin">
        <color auto="1"/>
      </bottom>
      <diagonal/>
    </border>
    <border>
      <left/>
      <right/>
      <top/>
      <bottom style="thin">
        <color auto="1"/>
      </bottom>
      <diagonal/>
    </border>
    <border>
      <left style="medium">
        <color auto="1"/>
      </left>
      <right/>
      <top style="thin">
        <color auto="1"/>
      </top>
      <bottom/>
      <diagonal/>
    </border>
    <border>
      <left/>
      <right/>
      <top style="thin">
        <color auto="1"/>
      </top>
      <bottom/>
      <diagonal/>
    </border>
    <border>
      <left/>
      <right/>
      <top style="hair">
        <color auto="1"/>
      </top>
      <bottom style="hair">
        <color auto="1"/>
      </bottom>
      <diagonal/>
    </border>
    <border>
      <left/>
      <right/>
      <top style="dotted">
        <color auto="1"/>
      </top>
      <bottom style="dotted">
        <color auto="1"/>
      </bottom>
      <diagonal/>
    </border>
    <border>
      <left/>
      <right/>
      <top/>
      <bottom style="dotted">
        <color auto="1"/>
      </bottom>
      <diagonal/>
    </border>
    <border>
      <left/>
      <right/>
      <top style="dotted">
        <color auto="1"/>
      </top>
      <bottom style="thin">
        <color auto="1"/>
      </bottom>
      <diagonal/>
    </border>
    <border>
      <left/>
      <right style="thin">
        <color auto="1"/>
      </right>
      <top style="thin">
        <color auto="1"/>
      </top>
      <bottom/>
      <diagonal/>
    </border>
    <border>
      <left style="thin">
        <color auto="1"/>
      </left>
      <right/>
      <top style="thin">
        <color auto="1"/>
      </top>
      <bottom/>
      <diagonal/>
    </border>
    <border>
      <left/>
      <right style="thin">
        <color auto="1"/>
      </right>
      <top/>
      <bottom/>
      <diagonal/>
    </border>
    <border>
      <left style="thin">
        <color auto="1"/>
      </left>
      <right/>
      <top/>
      <bottom/>
      <diagonal/>
    </border>
    <border>
      <left/>
      <right style="thin">
        <color auto="1"/>
      </right>
      <top/>
      <bottom style="medium">
        <color auto="1"/>
      </bottom>
      <diagonal/>
    </border>
    <border>
      <left style="medium">
        <color auto="1"/>
      </left>
      <right style="thin">
        <color theme="0" tint="-0.349986266670736"/>
      </right>
      <top style="medium">
        <color auto="1"/>
      </top>
      <bottom style="thin">
        <color theme="0" tint="-0.349986266670736"/>
      </bottom>
      <diagonal/>
    </border>
    <border>
      <left style="thin">
        <color theme="0" tint="-0.349986266670736"/>
      </left>
      <right style="thin">
        <color theme="0" tint="-0.349986266670736"/>
      </right>
      <top style="medium">
        <color auto="1"/>
      </top>
      <bottom style="thin">
        <color theme="0" tint="-0.349986266670736"/>
      </bottom>
      <diagonal/>
    </border>
    <border>
      <left style="thin">
        <color theme="0" tint="-0.349986266670736"/>
      </left>
      <right style="thin">
        <color auto="1"/>
      </right>
      <top style="medium">
        <color auto="1"/>
      </top>
      <bottom style="thin">
        <color theme="0" tint="-0.349986266670736"/>
      </bottom>
      <diagonal/>
    </border>
    <border>
      <left style="thin">
        <color auto="1"/>
      </left>
      <right style="thin">
        <color theme="0" tint="-0.349986266670736"/>
      </right>
      <top style="medium">
        <color auto="1"/>
      </top>
      <bottom style="thin">
        <color theme="0" tint="-0.349986266670736"/>
      </bottom>
      <diagonal/>
    </border>
    <border>
      <left style="medium">
        <color auto="1"/>
      </left>
      <right style="thin">
        <color theme="0" tint="-0.349986266670736"/>
      </right>
      <top style="thin">
        <color theme="0" tint="-0.349986266670736"/>
      </top>
      <bottom style="thin">
        <color theme="0" tint="-0.349986266670736"/>
      </bottom>
      <diagonal/>
    </border>
    <border>
      <left style="thin">
        <color theme="0" tint="-0.349986266670736"/>
      </left>
      <right style="thin">
        <color theme="0" tint="-0.349986266670736"/>
      </right>
      <top style="thin">
        <color theme="0" tint="-0.349986266670736"/>
      </top>
      <bottom style="thin">
        <color theme="0" tint="-0.349986266670736"/>
      </bottom>
      <diagonal/>
    </border>
    <border diagonalUp="1" diagonalDown="1">
      <left style="thin">
        <color theme="0" tint="-0.349986266670736"/>
      </left>
      <right style="thin">
        <color auto="1"/>
      </right>
      <top style="thin">
        <color theme="0" tint="-0.349986266670736"/>
      </top>
      <bottom style="thin">
        <color theme="0" tint="-0.349986266670736"/>
      </bottom>
      <diagonal style="thin">
        <color theme="0" tint="-0.249977111117893"/>
      </diagonal>
    </border>
    <border>
      <left style="thin">
        <color auto="1"/>
      </left>
      <right/>
      <top style="thin">
        <color theme="0" tint="-0.349986266670736"/>
      </top>
      <bottom style="thin">
        <color theme="0" tint="-0.349986266670736"/>
      </bottom>
      <diagonal/>
    </border>
    <border>
      <left/>
      <right style="thin">
        <color theme="0" tint="-0.349986266670736"/>
      </right>
      <top style="thin">
        <color theme="0" tint="-0.349986266670736"/>
      </top>
      <bottom style="thin">
        <color theme="0" tint="-0.349986266670736"/>
      </bottom>
      <diagonal/>
    </border>
    <border diagonalUp="1" diagonalDown="1">
      <left style="thin">
        <color theme="0" tint="-0.349986266670736"/>
      </left>
      <right style="thin">
        <color auto="1"/>
      </right>
      <top style="thin">
        <color theme="0" tint="-0.349986266670736"/>
      </top>
      <bottom style="thin">
        <color theme="0" tint="-0.349986266670736"/>
      </bottom>
      <diagonal style="thin">
        <color theme="0" tint="-0.349986266670736"/>
      </diagonal>
    </border>
    <border>
      <left style="thin">
        <color theme="0" tint="-0.349986266670736"/>
      </left>
      <right/>
      <top style="medium">
        <color auto="1"/>
      </top>
      <bottom style="thin">
        <color theme="0" tint="-0.349986266670736"/>
      </bottom>
      <diagonal/>
    </border>
    <border>
      <left style="medium">
        <color auto="1"/>
      </left>
      <right/>
      <top style="thin">
        <color theme="0" tint="-0.349986266670736"/>
      </top>
      <bottom style="thin">
        <color theme="0" tint="-0.349986266670736"/>
      </bottom>
      <diagonal/>
    </border>
    <border>
      <left style="thin">
        <color theme="0" tint="-0.349986266670736"/>
      </left>
      <right style="thin">
        <color auto="1"/>
      </right>
      <top style="thin">
        <color theme="0" tint="-0.349986266670736"/>
      </top>
      <bottom style="thin">
        <color theme="0" tint="-0.349986266670736"/>
      </bottom>
      <diagonal/>
    </border>
    <border>
      <left style="thin">
        <color auto="1"/>
      </left>
      <right style="thin">
        <color theme="0" tint="-0.349986266670736"/>
      </right>
      <top style="thin">
        <color theme="0" tint="-0.349986266670736"/>
      </top>
      <bottom style="thin">
        <color theme="0" tint="-0.349986266670736"/>
      </bottom>
      <diagonal/>
    </border>
    <border>
      <left style="thin">
        <color auto="1"/>
      </left>
      <right/>
      <top style="thin">
        <color theme="0" tint="-0.349986266670736"/>
      </top>
      <bottom style="medium">
        <color auto="1"/>
      </bottom>
      <diagonal/>
    </border>
    <border>
      <left/>
      <right style="thin">
        <color theme="0" tint="-0.349986266670736"/>
      </right>
      <top style="thin">
        <color theme="0" tint="-0.349986266670736"/>
      </top>
      <bottom style="medium">
        <color auto="1"/>
      </bottom>
      <diagonal/>
    </border>
    <border diagonalUp="1" diagonalDown="1">
      <left style="thin">
        <color theme="0" tint="-0.349986266670736"/>
      </left>
      <right/>
      <top style="thin">
        <color theme="0" tint="-0.349986266670736"/>
      </top>
      <bottom style="thin">
        <color theme="0" tint="-0.349986266670736"/>
      </bottom>
      <diagonal style="thin">
        <color theme="0" tint="-0.349986266670736"/>
      </diagonal>
    </border>
    <border>
      <left style="thin">
        <color theme="0" tint="-0.349986266670736"/>
      </left>
      <right/>
      <top style="thin">
        <color theme="0" tint="-0.349986266670736"/>
      </top>
      <bottom style="thin">
        <color theme="0" tint="-0.349986266670736"/>
      </bottom>
      <diagonal/>
    </border>
    <border>
      <left style="thin">
        <color theme="0" tint="-0.349986266670736"/>
      </left>
      <right style="thin">
        <color auto="1"/>
      </right>
      <top style="thin">
        <color theme="0" tint="-0.349986266670736"/>
      </top>
      <bottom style="medium">
        <color auto="1"/>
      </bottom>
      <diagonal/>
    </border>
    <border>
      <left style="medium">
        <color auto="1"/>
      </left>
      <right/>
      <top style="thin">
        <color theme="0" tint="-0.349986266670736"/>
      </top>
      <bottom style="medium">
        <color auto="1"/>
      </bottom>
      <diagonal/>
    </border>
    <border>
      <left style="thin">
        <color theme="0" tint="-0.349986266670736"/>
      </left>
      <right style="thin">
        <color theme="0" tint="-0.349986266670736"/>
      </right>
      <top style="thin">
        <color theme="0" tint="-0.349986266670736"/>
      </top>
      <bottom style="medium">
        <color auto="1"/>
      </bottom>
      <diagonal/>
    </border>
    <border diagonalUp="1" diagonalDown="1">
      <left style="thin">
        <color theme="0" tint="-0.349986266670736"/>
      </left>
      <right style="thin">
        <color auto="1"/>
      </right>
      <top style="thin">
        <color theme="0" tint="-0.349986266670736"/>
      </top>
      <bottom style="medium">
        <color auto="1"/>
      </bottom>
      <diagonal style="thin">
        <color theme="0" tint="-0.349986266670736"/>
      </diagonal>
    </border>
    <border>
      <left style="thin">
        <color theme="0" tint="-0.349986266670736"/>
      </left>
      <right/>
      <top style="medium">
        <color auto="1"/>
      </top>
      <bottom/>
      <diagonal/>
    </border>
    <border>
      <left style="thin">
        <color theme="0" tint="-0.249977111117893"/>
      </left>
      <right style="thin">
        <color theme="0" tint="-0.349986266670736"/>
      </right>
      <top style="medium">
        <color auto="1"/>
      </top>
      <bottom/>
      <diagonal/>
    </border>
    <border>
      <left style="thin">
        <color theme="0" tint="-0.349986266670736"/>
      </left>
      <right style="thin">
        <color theme="0" tint="-0.349986266670736"/>
      </right>
      <top style="medium">
        <color auto="1"/>
      </top>
      <bottom/>
      <diagonal/>
    </border>
    <border>
      <left style="thin">
        <color theme="0" tint="-0.349986266670736"/>
      </left>
      <right style="thin">
        <color theme="1"/>
      </right>
      <top style="medium">
        <color auto="1"/>
      </top>
      <bottom style="thin">
        <color theme="0" tint="-0.249977111117893"/>
      </bottom>
      <diagonal/>
    </border>
    <border>
      <left style="medium">
        <color auto="1"/>
      </left>
      <right/>
      <top style="thin">
        <color theme="0" tint="-0.349986266670736"/>
      </top>
      <bottom style="thin">
        <color theme="0" tint="-0.249977111117893"/>
      </bottom>
      <diagonal/>
    </border>
    <border>
      <left/>
      <right style="thin">
        <color theme="0" tint="-0.249977111117893"/>
      </right>
      <top style="thin">
        <color theme="0" tint="-0.349986266670736"/>
      </top>
      <bottom style="thin">
        <color theme="0" tint="-0.249977111117893"/>
      </bottom>
      <diagonal/>
    </border>
    <border>
      <left style="thin">
        <color theme="0" tint="-0.249977111117893"/>
      </left>
      <right style="thin">
        <color theme="0" tint="-0.249977111117893"/>
      </right>
      <top style="thin">
        <color theme="0" tint="-0.349986266670736"/>
      </top>
      <bottom style="thin">
        <color theme="0" tint="-0.249977111117893"/>
      </bottom>
      <diagonal/>
    </border>
    <border>
      <left style="thin">
        <color theme="0" tint="-0.249977111117893"/>
      </left>
      <right style="thin">
        <color theme="1"/>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auto="1"/>
      </left>
      <right/>
      <top style="thin">
        <color theme="0" tint="-0.249977111117893"/>
      </top>
      <bottom style="medium">
        <color theme="1"/>
      </bottom>
      <diagonal/>
    </border>
    <border>
      <left/>
      <right style="thin">
        <color theme="0" tint="-0.249977111117893"/>
      </right>
      <top style="thin">
        <color theme="0" tint="-0.249977111117893"/>
      </top>
      <bottom style="medium">
        <color theme="1"/>
      </bottom>
      <diagonal/>
    </border>
    <border>
      <left/>
      <right/>
      <top style="thin">
        <color theme="0" tint="-0.249977111117893"/>
      </top>
      <bottom style="medium">
        <color theme="1"/>
      </bottom>
      <diagonal/>
    </border>
    <border>
      <left style="thin">
        <color theme="0" tint="-0.249977111117893"/>
      </left>
      <right style="thin">
        <color theme="1"/>
      </right>
      <top style="thin">
        <color theme="0" tint="-0.249977111117893"/>
      </top>
      <bottom style="medium">
        <color theme="1"/>
      </bottom>
      <diagonal/>
    </border>
    <border>
      <left style="thin">
        <color theme="0" tint="-0.249977111117893"/>
      </left>
      <right style="thin">
        <color theme="0" tint="-0.249977111117893"/>
      </right>
      <top style="thin">
        <color theme="0" tint="-0.249977111117893"/>
      </top>
      <bottom style="medium">
        <color theme="1"/>
      </bottom>
      <diagonal/>
    </border>
    <border diagonalUp="1" diagonalDown="1">
      <left style="thin">
        <color theme="0" tint="-0.249977111117893"/>
      </left>
      <right style="thin">
        <color theme="1"/>
      </right>
      <top style="thin">
        <color theme="0" tint="-0.249977111117893"/>
      </top>
      <bottom style="medium">
        <color auto="1"/>
      </bottom>
      <diagonal style="thin">
        <color theme="0" tint="-0.349986266670736"/>
      </diagonal>
    </border>
    <border>
      <left style="medium">
        <color auto="1"/>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style="thin">
        <color auto="1"/>
      </right>
      <top style="thin">
        <color theme="0" tint="-0.499984740745262"/>
      </top>
      <bottom/>
      <diagonal/>
    </border>
    <border>
      <left style="medium">
        <color auto="1"/>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style="thin">
        <color auto="1"/>
      </right>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medium">
        <color auto="1"/>
      </right>
      <top/>
      <bottom/>
      <diagonal/>
    </border>
    <border>
      <left style="thin">
        <color auto="1"/>
      </left>
      <right/>
      <top/>
      <bottom style="thin">
        <color auto="1"/>
      </bottom>
      <diagonal/>
    </border>
    <border>
      <left/>
      <right style="medium">
        <color auto="1"/>
      </right>
      <top/>
      <bottom style="thin">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auto="1"/>
      </right>
      <top style="dotted">
        <color auto="1"/>
      </top>
      <bottom style="dotted">
        <color auto="1"/>
      </bottom>
      <diagonal/>
    </border>
    <border>
      <left/>
      <right style="medium">
        <color auto="1"/>
      </right>
      <top style="dotted">
        <color auto="1"/>
      </top>
      <bottom style="thin">
        <color auto="1"/>
      </bottom>
      <diagonal/>
    </border>
    <border>
      <left/>
      <right style="thin">
        <color theme="0" tint="-0.349986266670736"/>
      </right>
      <top style="medium">
        <color auto="1"/>
      </top>
      <bottom style="thin">
        <color theme="0" tint="-0.349986266670736"/>
      </bottom>
      <diagonal/>
    </border>
    <border>
      <left style="thin">
        <color theme="0" tint="-0.349986266670736"/>
      </left>
      <right style="medium">
        <color auto="1"/>
      </right>
      <top style="medium">
        <color auto="1"/>
      </top>
      <bottom style="thin">
        <color theme="0" tint="-0.349986266670736"/>
      </bottom>
      <diagonal/>
    </border>
    <border>
      <left style="thin">
        <color theme="0" tint="-0.349986266670736"/>
      </left>
      <right style="medium">
        <color auto="1"/>
      </right>
      <top style="thin">
        <color theme="0" tint="-0.349986266670736"/>
      </top>
      <bottom style="thin">
        <color theme="0" tint="-0.349986266670736"/>
      </bottom>
      <diagonal/>
    </border>
    <border diagonalUp="1" diagonalDown="1">
      <left style="thin">
        <color theme="0" tint="-0.349986266670736"/>
      </left>
      <right style="thin">
        <color theme="0" tint="-0.349986266670736"/>
      </right>
      <top style="thin">
        <color theme="0" tint="-0.349986266670736"/>
      </top>
      <bottom style="thin">
        <color theme="0" tint="-0.349986266670736"/>
      </bottom>
      <diagonal style="thin">
        <color theme="0" tint="-0.349986266670736"/>
      </diagonal>
    </border>
    <border diagonalUp="1" diagonalDown="1">
      <left style="thin">
        <color theme="0" tint="-0.349986266670736"/>
      </left>
      <right style="medium">
        <color auto="1"/>
      </right>
      <top style="thin">
        <color theme="0" tint="-0.349986266670736"/>
      </top>
      <bottom style="thin">
        <color theme="0" tint="-0.349986266670736"/>
      </bottom>
      <diagonal style="thin">
        <color theme="0" tint="-0.349986266670736"/>
      </diagonal>
    </border>
    <border>
      <left/>
      <right/>
      <top style="thin">
        <color theme="0" tint="-0.349986266670736"/>
      </top>
      <bottom style="medium">
        <color auto="1"/>
      </bottom>
      <diagonal/>
    </border>
    <border>
      <left/>
      <right style="medium">
        <color auto="1"/>
      </right>
      <top style="thin">
        <color theme="0" tint="-0.349986266670736"/>
      </top>
      <bottom style="medium">
        <color auto="1"/>
      </bottom>
      <diagonal/>
    </border>
    <border>
      <left/>
      <right style="medium">
        <color auto="1"/>
      </right>
      <top style="medium">
        <color auto="1"/>
      </top>
      <bottom style="thin">
        <color theme="0" tint="-0.349986266670736"/>
      </bottom>
      <diagonal/>
    </border>
    <border>
      <left/>
      <right style="medium">
        <color auto="1"/>
      </right>
      <top style="thin">
        <color theme="0" tint="-0.349986266670736"/>
      </top>
      <bottom style="thin">
        <color theme="0" tint="-0.349986266670736"/>
      </bottom>
      <diagonal/>
    </border>
    <border diagonalUp="1" diagonalDown="1">
      <left style="thin">
        <color theme="0" tint="-0.349986266670736"/>
      </left>
      <right/>
      <top style="thin">
        <color theme="0" tint="-0.349986266670736"/>
      </top>
      <bottom style="medium">
        <color auto="1"/>
      </bottom>
      <diagonal style="thin">
        <color theme="0" tint="-0.249977111117893"/>
      </diagonal>
    </border>
    <border diagonalUp="1" diagonalDown="1">
      <left/>
      <right style="medium">
        <color auto="1"/>
      </right>
      <top style="thin">
        <color theme="0" tint="-0.349986266670736"/>
      </top>
      <bottom style="medium">
        <color auto="1"/>
      </bottom>
      <diagonal style="thin">
        <color theme="0" tint="-0.249977111117893"/>
      </diagonal>
    </border>
    <border>
      <left/>
      <right/>
      <top style="medium">
        <color auto="1"/>
      </top>
      <bottom style="thin">
        <color theme="0" tint="-0.349986266670736"/>
      </bottom>
      <diagonal/>
    </border>
    <border>
      <left/>
      <right/>
      <top style="thin">
        <color theme="0" tint="-0.349986266670736"/>
      </top>
      <bottom/>
      <diagonal/>
    </border>
    <border>
      <left/>
      <right style="thin">
        <color theme="0" tint="-0.349986266670736"/>
      </right>
      <top style="thin">
        <color theme="0" tint="-0.349986266670736"/>
      </top>
      <bottom/>
      <diagonal/>
    </border>
    <border>
      <left style="thin">
        <color theme="0" tint="-0.349986266670736"/>
      </left>
      <right style="thin">
        <color theme="0" tint="-0.349986266670736"/>
      </right>
      <top style="thin">
        <color theme="0" tint="-0.349986266670736"/>
      </top>
      <bottom/>
      <diagonal/>
    </border>
    <border>
      <left/>
      <right/>
      <top/>
      <bottom style="thin">
        <color theme="0" tint="-0.349986266670736"/>
      </bottom>
      <diagonal/>
    </border>
    <border>
      <left/>
      <right style="thin">
        <color theme="0" tint="-0.349986266670736"/>
      </right>
      <top/>
      <bottom style="thin">
        <color theme="0" tint="-0.349986266670736"/>
      </bottom>
      <diagonal/>
    </border>
    <border>
      <left style="thin">
        <color theme="0" tint="-0.349986266670736"/>
      </left>
      <right style="thin">
        <color theme="0" tint="-0.349986266670736"/>
      </right>
      <top/>
      <bottom style="thin">
        <color theme="0" tint="-0.349986266670736"/>
      </bottom>
      <diagonal/>
    </border>
    <border>
      <left style="thin">
        <color auto="1"/>
      </left>
      <right style="thin">
        <color theme="0" tint="-0.349986266670736"/>
      </right>
      <top style="thin">
        <color theme="0" tint="-0.349986266670736"/>
      </top>
      <bottom/>
      <diagonal/>
    </border>
    <border>
      <left style="thin">
        <color theme="0" tint="-0.349986266670736"/>
      </left>
      <right style="medium">
        <color auto="1"/>
      </right>
      <top style="thin">
        <color theme="0" tint="-0.349986266670736"/>
      </top>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8">
    <xf numFmtId="0" fontId="0" fillId="0" borderId="0"/>
    <xf numFmtId="176" fontId="30" fillId="0" borderId="0" applyFont="0" applyFill="0" applyBorder="0" applyAlignment="0" applyProtection="0">
      <alignment vertical="center"/>
    </xf>
    <xf numFmtId="44" fontId="30" fillId="0" borderId="0" applyFont="0" applyFill="0" applyBorder="0" applyAlignment="0" applyProtection="0">
      <alignment vertical="center"/>
    </xf>
    <xf numFmtId="9" fontId="0" fillId="0" borderId="0" applyFont="0" applyFill="0" applyBorder="0" applyAlignment="0" applyProtection="0"/>
    <xf numFmtId="177" fontId="30" fillId="0" borderId="0" applyFont="0" applyFill="0" applyBorder="0" applyAlignment="0" applyProtection="0">
      <alignment vertical="center"/>
    </xf>
    <xf numFmtId="42" fontId="30" fillId="0" borderId="0" applyFont="0" applyFill="0" applyBorder="0" applyAlignment="0" applyProtection="0">
      <alignment vertical="center"/>
    </xf>
    <xf numFmtId="0" fontId="30" fillId="6" borderId="112"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113" applyNumberFormat="0" applyFill="0" applyAlignment="0" applyProtection="0">
      <alignment vertical="center"/>
    </xf>
    <xf numFmtId="0" fontId="35" fillId="0" borderId="113" applyNumberFormat="0" applyFill="0" applyAlignment="0" applyProtection="0">
      <alignment vertical="center"/>
    </xf>
    <xf numFmtId="0" fontId="36" fillId="0" borderId="114" applyNumberFormat="0" applyFill="0" applyAlignment="0" applyProtection="0">
      <alignment vertical="center"/>
    </xf>
    <xf numFmtId="0" fontId="36" fillId="0" borderId="0" applyNumberFormat="0" applyFill="0" applyBorder="0" applyAlignment="0" applyProtection="0">
      <alignment vertical="center"/>
    </xf>
    <xf numFmtId="0" fontId="37" fillId="7" borderId="115" applyNumberFormat="0" applyAlignment="0" applyProtection="0">
      <alignment vertical="center"/>
    </xf>
    <xf numFmtId="0" fontId="38" fillId="8" borderId="116" applyNumberFormat="0" applyAlignment="0" applyProtection="0">
      <alignment vertical="center"/>
    </xf>
    <xf numFmtId="0" fontId="39" fillId="8" borderId="115" applyNumberFormat="0" applyAlignment="0" applyProtection="0">
      <alignment vertical="center"/>
    </xf>
    <xf numFmtId="0" fontId="40" fillId="9" borderId="117" applyNumberFormat="0" applyAlignment="0" applyProtection="0">
      <alignment vertical="center"/>
    </xf>
    <xf numFmtId="0" fontId="41" fillId="0" borderId="118" applyNumberFormat="0" applyFill="0" applyAlignment="0" applyProtection="0">
      <alignment vertical="center"/>
    </xf>
    <xf numFmtId="0" fontId="42" fillId="0" borderId="119" applyNumberFormat="0" applyFill="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6" fillId="13" borderId="0" applyNumberFormat="0" applyBorder="0" applyAlignment="0" applyProtection="0">
      <alignment vertical="center"/>
    </xf>
    <xf numFmtId="0" fontId="47" fillId="14" borderId="0" applyNumberFormat="0" applyBorder="0" applyAlignment="0" applyProtection="0">
      <alignment vertical="center"/>
    </xf>
    <xf numFmtId="0" fontId="47" fillId="15" borderId="0" applyNumberFormat="0" applyBorder="0" applyAlignment="0" applyProtection="0">
      <alignment vertical="center"/>
    </xf>
    <xf numFmtId="0" fontId="46" fillId="16" borderId="0" applyNumberFormat="0" applyBorder="0" applyAlignment="0" applyProtection="0">
      <alignment vertical="center"/>
    </xf>
    <xf numFmtId="0" fontId="46" fillId="17" borderId="0" applyNumberFormat="0" applyBorder="0" applyAlignment="0" applyProtection="0">
      <alignment vertical="center"/>
    </xf>
    <xf numFmtId="0" fontId="47" fillId="18" borderId="0" applyNumberFormat="0" applyBorder="0" applyAlignment="0" applyProtection="0">
      <alignment vertical="center"/>
    </xf>
    <xf numFmtId="0" fontId="47" fillId="19"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7" fillId="22" borderId="0" applyNumberFormat="0" applyBorder="0" applyAlignment="0" applyProtection="0">
      <alignment vertical="center"/>
    </xf>
    <xf numFmtId="0" fontId="47" fillId="23"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7" fillId="26" borderId="0" applyNumberFormat="0" applyBorder="0" applyAlignment="0" applyProtection="0">
      <alignment vertical="center"/>
    </xf>
    <xf numFmtId="0" fontId="47"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7" fillId="30" borderId="0" applyNumberFormat="0" applyBorder="0" applyAlignment="0" applyProtection="0">
      <alignment vertical="center"/>
    </xf>
    <xf numFmtId="0" fontId="47" fillId="31" borderId="0" applyNumberFormat="0" applyBorder="0" applyAlignment="0" applyProtection="0">
      <alignment vertical="center"/>
    </xf>
    <xf numFmtId="0" fontId="46" fillId="32" borderId="0" applyNumberFormat="0" applyBorder="0" applyAlignment="0" applyProtection="0">
      <alignment vertical="center"/>
    </xf>
    <xf numFmtId="0" fontId="46" fillId="33" borderId="0" applyNumberFormat="0" applyBorder="0" applyAlignment="0" applyProtection="0">
      <alignment vertical="center"/>
    </xf>
    <xf numFmtId="0" fontId="47" fillId="34" borderId="0" applyNumberFormat="0" applyBorder="0" applyAlignment="0" applyProtection="0">
      <alignment vertical="center"/>
    </xf>
    <xf numFmtId="0" fontId="47" fillId="35" borderId="0" applyNumberFormat="0" applyBorder="0" applyAlignment="0" applyProtection="0">
      <alignment vertical="center"/>
    </xf>
    <xf numFmtId="0" fontId="46" fillId="36" borderId="0" applyNumberFormat="0" applyBorder="0" applyAlignment="0" applyProtection="0">
      <alignment vertical="center"/>
    </xf>
    <xf numFmtId="0" fontId="48" fillId="0" borderId="0"/>
  </cellStyleXfs>
  <cellXfs count="263">
    <xf numFmtId="0" fontId="0" fillId="0" borderId="0" xfId="0"/>
    <xf numFmtId="0" fontId="1" fillId="0" borderId="0" xfId="0" applyFont="1" applyAlignment="1">
      <alignment vertical="center"/>
    </xf>
    <xf numFmtId="0" fontId="1" fillId="0" borderId="0" xfId="0" applyFont="1"/>
    <xf numFmtId="0" fontId="0" fillId="0" borderId="0" xfId="0" applyAlignment="1">
      <alignment vertical="center"/>
    </xf>
    <xf numFmtId="0" fontId="0" fillId="0" borderId="0" xfId="0" applyAlignment="1">
      <alignment vertical="top"/>
    </xf>
    <xf numFmtId="0" fontId="2" fillId="0" borderId="0" xfId="0" applyFont="1" applyAlignment="1">
      <alignment vertical="center"/>
    </xf>
    <xf numFmtId="0" fontId="3" fillId="2" borderId="1" xfId="0" applyFont="1" applyFill="1" applyBorder="1"/>
    <xf numFmtId="0" fontId="4" fillId="0" borderId="2" xfId="0" applyFont="1" applyBorder="1" applyAlignment="1">
      <alignment horizontal="center"/>
    </xf>
    <xf numFmtId="0" fontId="3" fillId="2" borderId="3" xfId="0" applyFont="1" applyFill="1" applyBorder="1"/>
    <xf numFmtId="0" fontId="5" fillId="0" borderId="0" xfId="0" applyFont="1" applyBorder="1" applyAlignment="1">
      <alignment horizontal="center" vertical="center"/>
    </xf>
    <xf numFmtId="0" fontId="6" fillId="0" borderId="0" xfId="0" applyFont="1" applyBorder="1" applyAlignment="1">
      <alignment horizontal="center"/>
    </xf>
    <xf numFmtId="0" fontId="3" fillId="2" borderId="0" xfId="0" applyFont="1" applyFill="1" applyBorder="1"/>
    <xf numFmtId="0" fontId="7" fillId="2" borderId="0" xfId="0" applyFont="1" applyFill="1" applyBorder="1" applyAlignment="1"/>
    <xf numFmtId="0" fontId="8" fillId="2" borderId="3" xfId="0" applyFont="1" applyFill="1" applyBorder="1"/>
    <xf numFmtId="0" fontId="9" fillId="0" borderId="0" xfId="0" applyFont="1" applyBorder="1" applyAlignment="1">
      <alignment horizontal="center"/>
    </xf>
    <xf numFmtId="0" fontId="10" fillId="2" borderId="0" xfId="0" applyFont="1" applyFill="1" applyBorder="1" applyAlignment="1"/>
    <xf numFmtId="0" fontId="11" fillId="2" borderId="0" xfId="0" applyFont="1" applyFill="1" applyBorder="1" applyAlignment="1">
      <alignment horizontal="center"/>
    </xf>
    <xf numFmtId="0" fontId="8" fillId="2" borderId="0" xfId="0" applyFont="1" applyFill="1" applyBorder="1"/>
    <xf numFmtId="0" fontId="12" fillId="2" borderId="0" xfId="0" applyFont="1" applyFill="1" applyBorder="1"/>
    <xf numFmtId="0" fontId="3" fillId="2" borderId="4" xfId="0" applyFont="1" applyFill="1" applyBorder="1"/>
    <xf numFmtId="0" fontId="3" fillId="2" borderId="5" xfId="0" applyFont="1" applyFill="1" applyBorder="1"/>
    <xf numFmtId="0" fontId="7" fillId="2" borderId="5" xfId="0" applyFont="1" applyFill="1" applyBorder="1" applyAlignment="1">
      <alignment horizontal="center"/>
    </xf>
    <xf numFmtId="0" fontId="3" fillId="2" borderId="6" xfId="0" applyFont="1" applyFill="1" applyBorder="1"/>
    <xf numFmtId="0" fontId="3" fillId="2" borderId="7" xfId="0" applyFont="1" applyFill="1" applyBorder="1"/>
    <xf numFmtId="0" fontId="7" fillId="2" borderId="7" xfId="0" applyFont="1" applyFill="1" applyBorder="1" applyAlignment="1">
      <alignment horizontal="center"/>
    </xf>
    <xf numFmtId="0" fontId="13" fillId="2" borderId="3" xfId="0" applyFont="1" applyFill="1" applyBorder="1" applyAlignment="1">
      <alignment horizontal="center"/>
    </xf>
    <xf numFmtId="0" fontId="13" fillId="2" borderId="0" xfId="0" applyFont="1" applyFill="1" applyBorder="1" applyAlignment="1">
      <alignment horizontal="center"/>
    </xf>
    <xf numFmtId="0" fontId="7" fillId="2" borderId="0" xfId="0" applyFont="1" applyFill="1" applyBorder="1"/>
    <xf numFmtId="0" fontId="7" fillId="2" borderId="8" xfId="0" applyFont="1" applyFill="1" applyBorder="1"/>
    <xf numFmtId="0" fontId="3" fillId="2" borderId="9" xfId="0" applyFont="1" applyFill="1" applyBorder="1"/>
    <xf numFmtId="0" fontId="3" fillId="2" borderId="10" xfId="0" applyFont="1" applyFill="1" applyBorder="1" applyAlignment="1">
      <alignment horizontal="left"/>
    </xf>
    <xf numFmtId="0" fontId="3" fillId="2" borderId="10" xfId="0" applyFont="1" applyFill="1" applyBorder="1"/>
    <xf numFmtId="0" fontId="3" fillId="2" borderId="11" xfId="0" applyFont="1" applyFill="1" applyBorder="1"/>
    <xf numFmtId="0" fontId="14" fillId="0" borderId="6" xfId="0" applyFont="1" applyBorder="1" applyAlignment="1">
      <alignment horizontal="center" vertical="center"/>
    </xf>
    <xf numFmtId="0" fontId="14" fillId="0" borderId="7" xfId="0" applyFont="1" applyBorder="1" applyAlignment="1">
      <alignment horizontal="center" vertical="center"/>
    </xf>
    <xf numFmtId="0" fontId="14" fillId="0" borderId="12" xfId="0" applyFont="1" applyBorder="1" applyAlignment="1">
      <alignment horizontal="center" vertical="center"/>
    </xf>
    <xf numFmtId="0" fontId="14" fillId="0" borderId="13" xfId="0" applyFont="1" applyBorder="1" applyAlignment="1">
      <alignment horizontal="center" vertical="center"/>
    </xf>
    <xf numFmtId="0" fontId="1" fillId="0" borderId="3" xfId="0" applyFont="1" applyBorder="1"/>
    <xf numFmtId="0" fontId="1" fillId="0" borderId="0" xfId="0" applyFont="1" applyBorder="1"/>
    <xf numFmtId="0" fontId="1" fillId="0" borderId="14" xfId="0" applyFont="1" applyBorder="1"/>
    <xf numFmtId="0" fontId="1" fillId="0" borderId="15" xfId="0" applyFont="1" applyBorder="1"/>
    <xf numFmtId="0" fontId="1" fillId="0" borderId="15" xfId="0" applyFont="1" applyBorder="1" applyAlignment="1">
      <alignment vertical="center"/>
    </xf>
    <xf numFmtId="0" fontId="14" fillId="0" borderId="0" xfId="0" applyFont="1" applyBorder="1" applyAlignment="1">
      <alignment vertical="center"/>
    </xf>
    <xf numFmtId="0" fontId="1" fillId="0" borderId="4" xfId="0" applyFont="1" applyBorder="1"/>
    <xf numFmtId="0" fontId="1" fillId="0" borderId="5" xfId="0" applyFont="1" applyBorder="1"/>
    <xf numFmtId="0" fontId="1" fillId="0" borderId="16" xfId="0" applyFont="1" applyBorder="1"/>
    <xf numFmtId="0" fontId="7" fillId="3" borderId="17" xfId="0" applyFont="1" applyFill="1" applyBorder="1" applyAlignment="1">
      <alignment horizontal="left"/>
    </xf>
    <xf numFmtId="0" fontId="3" fillId="3" borderId="18" xfId="0" applyFont="1" applyFill="1" applyBorder="1"/>
    <xf numFmtId="0" fontId="3" fillId="3" borderId="18" xfId="0" applyFont="1" applyFill="1" applyBorder="1" applyAlignment="1">
      <alignment horizontal="left"/>
    </xf>
    <xf numFmtId="0" fontId="3" fillId="3" borderId="19" xfId="0" applyFont="1" applyFill="1" applyBorder="1" applyAlignment="1">
      <alignment horizontal="left"/>
    </xf>
    <xf numFmtId="0" fontId="7" fillId="3" borderId="20" xfId="0" applyFont="1" applyFill="1" applyBorder="1" applyAlignment="1">
      <alignment horizontal="left"/>
    </xf>
    <xf numFmtId="0" fontId="7" fillId="3" borderId="19" xfId="0" applyFont="1" applyFill="1" applyBorder="1" applyAlignment="1">
      <alignment horizontal="center"/>
    </xf>
    <xf numFmtId="0" fontId="3" fillId="2" borderId="21" xfId="0" applyFont="1" applyFill="1" applyBorder="1" applyAlignment="1">
      <alignment horizontal="left"/>
    </xf>
    <xf numFmtId="0" fontId="3" fillId="2" borderId="22" xfId="0" applyFont="1" applyFill="1" applyBorder="1"/>
    <xf numFmtId="178" fontId="7" fillId="4" borderId="22" xfId="3" applyNumberFormat="1" applyFont="1" applyFill="1" applyBorder="1" applyAlignment="1">
      <alignment horizontal="center"/>
    </xf>
    <xf numFmtId="0" fontId="3" fillId="2" borderId="23" xfId="0" applyFont="1" applyFill="1" applyBorder="1" applyAlignment="1">
      <alignment horizontal="center"/>
    </xf>
    <xf numFmtId="0" fontId="3" fillId="0" borderId="24" xfId="0" applyFont="1" applyFill="1" applyBorder="1" applyAlignment="1">
      <alignment horizontal="left"/>
    </xf>
    <xf numFmtId="0" fontId="3" fillId="0" borderId="25" xfId="0" applyFont="1" applyFill="1" applyBorder="1" applyAlignment="1">
      <alignment horizontal="left"/>
    </xf>
    <xf numFmtId="179" fontId="15" fillId="0" borderId="22" xfId="0" applyNumberFormat="1" applyFont="1" applyFill="1" applyBorder="1" applyAlignment="1">
      <alignment horizontal="center"/>
    </xf>
    <xf numFmtId="0" fontId="3" fillId="0" borderId="26" xfId="0" applyFont="1" applyFill="1" applyBorder="1" applyAlignment="1">
      <alignment horizontal="center"/>
    </xf>
    <xf numFmtId="0" fontId="16" fillId="3" borderId="27" xfId="0" applyFont="1" applyFill="1" applyBorder="1" applyAlignment="1">
      <alignment horizontal="center"/>
    </xf>
    <xf numFmtId="178" fontId="15" fillId="0" borderId="22" xfId="0" applyNumberFormat="1" applyFont="1" applyFill="1" applyBorder="1" applyAlignment="1">
      <alignment horizontal="center"/>
    </xf>
    <xf numFmtId="0" fontId="3" fillId="2" borderId="28" xfId="0" applyFont="1" applyFill="1" applyBorder="1" applyAlignment="1">
      <alignment horizontal="left"/>
    </xf>
    <xf numFmtId="0" fontId="3" fillId="2" borderId="25" xfId="0" applyFont="1" applyFill="1" applyBorder="1" applyAlignment="1">
      <alignment horizontal="left"/>
    </xf>
    <xf numFmtId="9" fontId="7" fillId="4" borderId="22" xfId="3" applyFont="1" applyFill="1" applyBorder="1" applyAlignment="1">
      <alignment horizontal="center"/>
    </xf>
    <xf numFmtId="0" fontId="3" fillId="2" borderId="29" xfId="0" applyFont="1" applyFill="1" applyBorder="1" applyAlignment="1">
      <alignment horizontal="center"/>
    </xf>
    <xf numFmtId="0" fontId="3" fillId="2" borderId="30" xfId="0" applyFont="1" applyFill="1" applyBorder="1" applyAlignment="1">
      <alignment horizontal="left"/>
    </xf>
    <xf numFmtId="0" fontId="3" fillId="2" borderId="22" xfId="0" applyFont="1" applyFill="1" applyBorder="1" applyAlignment="1">
      <alignment horizontal="left"/>
    </xf>
    <xf numFmtId="0" fontId="3" fillId="2" borderId="29" xfId="0" applyFont="1" applyFill="1" applyBorder="1" applyAlignment="1">
      <alignment horizontal="left"/>
    </xf>
    <xf numFmtId="0" fontId="3" fillId="2" borderId="31" xfId="0" applyFont="1" applyFill="1" applyBorder="1" applyAlignment="1">
      <alignment horizontal="right"/>
    </xf>
    <xf numFmtId="0" fontId="3" fillId="2" borderId="32" xfId="0" applyFont="1" applyFill="1" applyBorder="1"/>
    <xf numFmtId="0" fontId="3" fillId="2" borderId="22" xfId="0" applyFont="1" applyFill="1" applyBorder="1" applyAlignment="1"/>
    <xf numFmtId="49" fontId="3" fillId="2" borderId="29" xfId="0" applyNumberFormat="1" applyFont="1" applyFill="1" applyBorder="1" applyAlignment="1">
      <alignment horizontal="center"/>
    </xf>
    <xf numFmtId="0" fontId="7" fillId="5" borderId="22" xfId="0" applyFont="1" applyFill="1" applyBorder="1" applyAlignment="1">
      <alignment horizontal="center"/>
    </xf>
    <xf numFmtId="0" fontId="3" fillId="2" borderId="24" xfId="0" applyFont="1" applyFill="1" applyBorder="1" applyAlignment="1">
      <alignment horizontal="left"/>
    </xf>
    <xf numFmtId="0" fontId="15" fillId="2" borderId="22" xfId="0" applyFont="1" applyFill="1" applyBorder="1" applyAlignment="1">
      <alignment horizontal="center"/>
    </xf>
    <xf numFmtId="0" fontId="3" fillId="0" borderId="33" xfId="0" applyFont="1" applyFill="1" applyBorder="1" applyAlignment="1">
      <alignment horizontal="center"/>
    </xf>
    <xf numFmtId="0" fontId="16" fillId="2" borderId="21" xfId="0" applyFont="1" applyFill="1" applyBorder="1" applyAlignment="1">
      <alignment horizontal="left"/>
    </xf>
    <xf numFmtId="0" fontId="16" fillId="2" borderId="22" xfId="0" applyFont="1" applyFill="1" applyBorder="1" applyAlignment="1">
      <alignment horizontal="left"/>
    </xf>
    <xf numFmtId="0" fontId="0" fillId="0" borderId="34" xfId="0" applyBorder="1"/>
    <xf numFmtId="0" fontId="7" fillId="2" borderId="22" xfId="0" applyFont="1" applyFill="1" applyBorder="1" applyAlignment="1">
      <alignment horizontal="center"/>
    </xf>
    <xf numFmtId="0" fontId="3" fillId="2" borderId="21" xfId="0" applyFont="1" applyFill="1" applyBorder="1" applyAlignment="1">
      <alignment horizontal="center"/>
    </xf>
    <xf numFmtId="0" fontId="3" fillId="2" borderId="22" xfId="0" applyFont="1" applyFill="1" applyBorder="1" applyAlignment="1">
      <alignment horizontal="center"/>
    </xf>
    <xf numFmtId="0" fontId="3" fillId="3" borderId="18" xfId="0" applyFont="1" applyFill="1" applyBorder="1" applyAlignment="1"/>
    <xf numFmtId="0" fontId="16" fillId="3" borderId="19" xfId="0" applyFont="1" applyFill="1" applyBorder="1" applyAlignment="1">
      <alignment horizontal="center"/>
    </xf>
    <xf numFmtId="178" fontId="7" fillId="4" borderId="22" xfId="0" applyNumberFormat="1" applyFont="1" applyFill="1" applyBorder="1" applyAlignment="1">
      <alignment horizontal="center"/>
    </xf>
    <xf numFmtId="0" fontId="3" fillId="2" borderId="34" xfId="0" applyFont="1" applyFill="1" applyBorder="1" applyAlignment="1">
      <alignment horizontal="center"/>
    </xf>
    <xf numFmtId="0" fontId="3" fillId="2" borderId="31" xfId="0" applyFont="1" applyFill="1" applyBorder="1" applyAlignment="1">
      <alignment horizontal="left"/>
    </xf>
    <xf numFmtId="0" fontId="3" fillId="2" borderId="32" xfId="0" applyFont="1" applyFill="1" applyBorder="1" applyAlignment="1">
      <alignment horizontal="left"/>
    </xf>
    <xf numFmtId="0" fontId="3" fillId="2" borderId="35" xfId="0" applyFont="1" applyFill="1" applyBorder="1" applyAlignment="1"/>
    <xf numFmtId="9" fontId="7" fillId="2" borderId="22" xfId="0" applyNumberFormat="1" applyFont="1" applyFill="1" applyBorder="1" applyAlignment="1">
      <alignment horizontal="center"/>
    </xf>
    <xf numFmtId="0" fontId="3" fillId="2" borderId="29" xfId="0" applyFont="1" applyFill="1" applyBorder="1" applyAlignment="1"/>
    <xf numFmtId="0" fontId="3" fillId="3" borderId="19" xfId="0" applyFont="1" applyFill="1" applyBorder="1" applyAlignment="1">
      <alignment horizontal="center"/>
    </xf>
    <xf numFmtId="0" fontId="3" fillId="0" borderId="26" xfId="0" applyFont="1" applyFill="1" applyBorder="1" applyAlignment="1"/>
    <xf numFmtId="0" fontId="3" fillId="0" borderId="29" xfId="0" applyFont="1" applyFill="1" applyBorder="1" applyAlignment="1"/>
    <xf numFmtId="0" fontId="3" fillId="2" borderId="36" xfId="0" applyFont="1" applyFill="1" applyBorder="1" applyAlignment="1">
      <alignment horizontal="left"/>
    </xf>
    <xf numFmtId="0" fontId="15" fillId="2" borderId="37" xfId="0" applyFont="1" applyFill="1" applyBorder="1" applyAlignment="1">
      <alignment horizontal="center"/>
    </xf>
    <xf numFmtId="0" fontId="3" fillId="0" borderId="38" xfId="0" applyFont="1" applyFill="1" applyBorder="1" applyAlignment="1"/>
    <xf numFmtId="0" fontId="3" fillId="2" borderId="35" xfId="0" applyFont="1" applyFill="1" applyBorder="1" applyAlignment="1">
      <alignment horizontal="center"/>
    </xf>
    <xf numFmtId="0" fontId="16" fillId="3" borderId="39" xfId="0" applyFont="1" applyFill="1" applyBorder="1" applyAlignment="1">
      <alignment horizontal="center"/>
    </xf>
    <xf numFmtId="0" fontId="7" fillId="3" borderId="40" xfId="0" applyFont="1" applyFill="1" applyBorder="1" applyAlignment="1">
      <alignment horizontal="left"/>
    </xf>
    <xf numFmtId="0" fontId="3" fillId="3" borderId="41" xfId="0" applyFont="1" applyFill="1" applyBorder="1"/>
    <xf numFmtId="0" fontId="3" fillId="3" borderId="41" xfId="0" applyFont="1" applyFill="1" applyBorder="1" applyAlignment="1">
      <alignment horizontal="left"/>
    </xf>
    <xf numFmtId="0" fontId="16" fillId="3" borderId="42" xfId="0" applyFont="1" applyFill="1" applyBorder="1" applyAlignment="1">
      <alignment horizontal="center"/>
    </xf>
    <xf numFmtId="0" fontId="17" fillId="0" borderId="43" xfId="0" applyFont="1" applyBorder="1" applyAlignment="1">
      <alignment vertical="center"/>
    </xf>
    <xf numFmtId="0" fontId="0" fillId="0" borderId="44" xfId="0" applyBorder="1" applyAlignment="1">
      <alignment vertical="center"/>
    </xf>
    <xf numFmtId="0" fontId="0" fillId="0" borderId="45" xfId="0" applyBorder="1" applyAlignment="1">
      <alignment vertical="center"/>
    </xf>
    <xf numFmtId="0" fontId="2" fillId="0" borderId="46" xfId="0" applyFont="1" applyBorder="1" applyAlignment="1">
      <alignment horizontal="center" vertical="center"/>
    </xf>
    <xf numFmtId="0" fontId="18" fillId="0" borderId="47" xfId="0" applyFont="1" applyBorder="1" applyAlignment="1">
      <alignment vertical="center"/>
    </xf>
    <xf numFmtId="0" fontId="0" fillId="0" borderId="47" xfId="0" applyBorder="1" applyAlignment="1">
      <alignment vertical="center"/>
    </xf>
    <xf numFmtId="0" fontId="0" fillId="0" borderId="48" xfId="0" applyBorder="1" applyAlignment="1">
      <alignment vertical="center"/>
    </xf>
    <xf numFmtId="0" fontId="0" fillId="0" borderId="46" xfId="0" applyBorder="1" applyAlignment="1">
      <alignment vertical="center"/>
    </xf>
    <xf numFmtId="0" fontId="17" fillId="0" borderId="49" xfId="0" applyFont="1" applyBorder="1" applyAlignment="1">
      <alignment vertical="center"/>
    </xf>
    <xf numFmtId="0" fontId="0" fillId="0" borderId="50" xfId="0" applyBorder="1" applyAlignment="1">
      <alignment vertical="center"/>
    </xf>
    <xf numFmtId="0" fontId="0" fillId="0" borderId="51" xfId="0" applyBorder="1" applyAlignment="1">
      <alignment vertical="center"/>
    </xf>
    <xf numFmtId="0" fontId="0" fillId="0" borderId="52" xfId="0" applyBorder="1" applyAlignment="1">
      <alignment vertical="center"/>
    </xf>
    <xf numFmtId="0" fontId="18" fillId="0" borderId="51" xfId="0" applyFont="1" applyBorder="1" applyAlignment="1">
      <alignment vertical="center"/>
    </xf>
    <xf numFmtId="0" fontId="0" fillId="0" borderId="53" xfId="0" applyBorder="1" applyAlignment="1">
      <alignment vertical="center"/>
    </xf>
    <xf numFmtId="0" fontId="3" fillId="0" borderId="54" xfId="0" applyFont="1" applyFill="1" applyBorder="1" applyAlignment="1">
      <alignment horizontal="center"/>
    </xf>
    <xf numFmtId="0" fontId="7" fillId="3" borderId="3" xfId="0" applyFont="1" applyFill="1" applyBorder="1" applyAlignment="1">
      <alignment horizontal="center" vertical="center"/>
    </xf>
    <xf numFmtId="0" fontId="7" fillId="3" borderId="0" xfId="0" applyFont="1" applyFill="1" applyBorder="1" applyAlignment="1">
      <alignment horizontal="center" vertical="center"/>
    </xf>
    <xf numFmtId="0" fontId="7" fillId="3" borderId="14" xfId="0" applyFont="1" applyFill="1" applyBorder="1" applyAlignment="1">
      <alignment horizontal="center" vertical="center"/>
    </xf>
    <xf numFmtId="0" fontId="19" fillId="0" borderId="55" xfId="0" applyFont="1" applyBorder="1" applyAlignment="1">
      <alignment horizontal="center" vertical="center"/>
    </xf>
    <xf numFmtId="0" fontId="18" fillId="0" borderId="56" xfId="0" applyFont="1" applyBorder="1" applyAlignment="1">
      <alignment horizontal="center" vertical="center"/>
    </xf>
    <xf numFmtId="0" fontId="7" fillId="0" borderId="56" xfId="0" applyFont="1" applyFill="1" applyBorder="1" applyAlignment="1">
      <alignment horizontal="left" vertical="center"/>
    </xf>
    <xf numFmtId="0" fontId="1" fillId="0" borderId="57" xfId="0" applyFont="1" applyBorder="1" applyAlignment="1">
      <alignment vertical="center"/>
    </xf>
    <xf numFmtId="0" fontId="20" fillId="0" borderId="58" xfId="0" applyFont="1" applyFill="1" applyBorder="1" applyAlignment="1">
      <alignment horizontal="left" vertical="center"/>
    </xf>
    <xf numFmtId="0" fontId="1" fillId="0" borderId="56" xfId="0" applyFont="1" applyBorder="1" applyAlignment="1">
      <alignment vertical="center"/>
    </xf>
    <xf numFmtId="0" fontId="3" fillId="0" borderId="56" xfId="0" applyFont="1" applyFill="1" applyBorder="1" applyAlignment="1">
      <alignment horizontal="left" vertical="center"/>
    </xf>
    <xf numFmtId="0" fontId="3" fillId="0" borderId="59" xfId="0" applyFont="1" applyFill="1" applyBorder="1" applyAlignment="1">
      <alignment vertical="center"/>
    </xf>
    <xf numFmtId="0" fontId="3" fillId="2" borderId="60" xfId="0" applyFont="1" applyFill="1" applyBorder="1" applyAlignment="1">
      <alignment horizontal="center" vertical="center"/>
    </xf>
    <xf numFmtId="0" fontId="3" fillId="2" borderId="61" xfId="0" applyFont="1" applyFill="1" applyBorder="1" applyAlignment="1">
      <alignment horizontal="center" vertical="center"/>
    </xf>
    <xf numFmtId="0" fontId="7" fillId="2" borderId="61" xfId="0" applyFont="1" applyFill="1" applyBorder="1" applyAlignment="1">
      <alignment horizontal="left" vertical="center"/>
    </xf>
    <xf numFmtId="0" fontId="1" fillId="0" borderId="62" xfId="0" applyFont="1" applyBorder="1" applyAlignment="1">
      <alignment vertical="center"/>
    </xf>
    <xf numFmtId="0" fontId="3" fillId="2" borderId="63" xfId="0" applyFont="1" applyFill="1" applyBorder="1" applyAlignment="1">
      <alignment vertical="center"/>
    </xf>
    <xf numFmtId="0" fontId="3" fillId="2" borderId="61" xfId="0" applyFont="1" applyFill="1" applyBorder="1" applyAlignment="1">
      <alignment horizontal="right" vertical="center"/>
    </xf>
    <xf numFmtId="2" fontId="7" fillId="0" borderId="61" xfId="0" applyNumberFormat="1" applyFont="1" applyFill="1" applyBorder="1" applyAlignment="1">
      <alignment horizontal="left" vertical="center"/>
    </xf>
    <xf numFmtId="0" fontId="3" fillId="2" borderId="64" xfId="0" applyFont="1" applyFill="1" applyBorder="1" applyAlignment="1">
      <alignment horizontal="left" vertical="center"/>
    </xf>
    <xf numFmtId="0" fontId="3" fillId="2" borderId="14" xfId="0" applyFont="1" applyFill="1" applyBorder="1"/>
    <xf numFmtId="0" fontId="3" fillId="2" borderId="65" xfId="0" applyFont="1" applyFill="1" applyBorder="1"/>
    <xf numFmtId="0" fontId="3" fillId="2" borderId="66" xfId="0" applyFont="1" applyFill="1" applyBorder="1"/>
    <xf numFmtId="0" fontId="15" fillId="2" borderId="3" xfId="0" applyFont="1" applyFill="1" applyBorder="1"/>
    <xf numFmtId="0" fontId="0" fillId="0" borderId="0" xfId="0" applyBorder="1"/>
    <xf numFmtId="0" fontId="7" fillId="4" borderId="15" xfId="0" applyFont="1" applyFill="1" applyBorder="1"/>
    <xf numFmtId="0" fontId="3" fillId="4" borderId="67" xfId="0" applyFont="1" applyFill="1" applyBorder="1"/>
    <xf numFmtId="0" fontId="7" fillId="2" borderId="3" xfId="0" applyFont="1" applyFill="1" applyBorder="1"/>
    <xf numFmtId="0" fontId="7" fillId="4" borderId="15" xfId="0" applyFont="1" applyFill="1" applyBorder="1" applyAlignment="1">
      <alignment horizontal="center"/>
    </xf>
    <xf numFmtId="0" fontId="3" fillId="4" borderId="68" xfId="0" applyFont="1" applyFill="1" applyBorder="1"/>
    <xf numFmtId="0" fontId="3" fillId="4" borderId="69" xfId="0" applyFont="1" applyFill="1" applyBorder="1"/>
    <xf numFmtId="0" fontId="21" fillId="2" borderId="3" xfId="0" applyFont="1" applyFill="1" applyBorder="1" applyAlignment="1">
      <alignment vertical="center"/>
    </xf>
    <xf numFmtId="0" fontId="3" fillId="0" borderId="0" xfId="0" applyFont="1" applyFill="1" applyBorder="1"/>
    <xf numFmtId="0" fontId="3" fillId="0" borderId="67" xfId="0" applyFont="1" applyFill="1" applyBorder="1"/>
    <xf numFmtId="0" fontId="0" fillId="0" borderId="3" xfId="0" applyBorder="1"/>
    <xf numFmtId="0" fontId="0" fillId="0" borderId="67" xfId="0" applyBorder="1"/>
    <xf numFmtId="0" fontId="7" fillId="2" borderId="65" xfId="0" applyFont="1" applyFill="1" applyBorder="1" applyAlignment="1">
      <alignment horizontal="left" vertical="top"/>
    </xf>
    <xf numFmtId="0" fontId="22" fillId="2" borderId="66" xfId="0" applyFont="1" applyFill="1" applyBorder="1" applyAlignment="1">
      <alignment horizontal="center" vertical="top"/>
    </xf>
    <xf numFmtId="0" fontId="7" fillId="2" borderId="66" xfId="0" applyFont="1" applyFill="1" applyBorder="1" applyAlignment="1">
      <alignment horizontal="right" vertical="top"/>
    </xf>
    <xf numFmtId="0" fontId="2" fillId="0" borderId="66" xfId="0" applyFont="1" applyBorder="1" applyAlignment="1">
      <alignment vertical="center"/>
    </xf>
    <xf numFmtId="58" fontId="7" fillId="2" borderId="66" xfId="0" applyNumberFormat="1" applyFont="1" applyFill="1" applyBorder="1" applyAlignment="1">
      <alignment vertical="top"/>
    </xf>
    <xf numFmtId="0" fontId="2" fillId="0" borderId="67" xfId="0" applyFont="1" applyBorder="1" applyAlignment="1">
      <alignment vertical="center"/>
    </xf>
    <xf numFmtId="0" fontId="23" fillId="0" borderId="70" xfId="47" applyFont="1" applyBorder="1" applyAlignment="1">
      <alignment horizontal="left" vertical="center"/>
    </xf>
    <xf numFmtId="0" fontId="16" fillId="2" borderId="71" xfId="47" applyFont="1" applyFill="1" applyBorder="1" applyAlignment="1">
      <alignment vertical="center"/>
    </xf>
    <xf numFmtId="0" fontId="24" fillId="0" borderId="72" xfId="47" applyFont="1" applyBorder="1" applyAlignment="1">
      <alignment horizontal="left" vertical="center"/>
    </xf>
    <xf numFmtId="0" fontId="16" fillId="2" borderId="72" xfId="47" applyFont="1" applyFill="1" applyBorder="1" applyAlignment="1">
      <alignment vertical="center"/>
    </xf>
    <xf numFmtId="0" fontId="2" fillId="0" borderId="73" xfId="0" applyFont="1" applyBorder="1" applyAlignment="1">
      <alignment vertical="center"/>
    </xf>
    <xf numFmtId="0" fontId="4" fillId="0" borderId="74" xfId="0" applyFont="1" applyBorder="1" applyAlignment="1">
      <alignment horizontal="center"/>
    </xf>
    <xf numFmtId="0" fontId="7" fillId="2" borderId="75" xfId="0" applyFont="1" applyFill="1" applyBorder="1" applyAlignment="1">
      <alignment horizontal="center" vertical="center"/>
    </xf>
    <xf numFmtId="0" fontId="25" fillId="0" borderId="76" xfId="0" applyFont="1" applyBorder="1" applyAlignment="1">
      <alignment horizontal="left" vertical="center"/>
    </xf>
    <xf numFmtId="0" fontId="7" fillId="2" borderId="76" xfId="0" applyFont="1" applyFill="1" applyBorder="1"/>
    <xf numFmtId="0" fontId="3" fillId="2" borderId="77" xfId="0" applyFont="1" applyFill="1" applyBorder="1"/>
    <xf numFmtId="0" fontId="5" fillId="0" borderId="14" xfId="0" applyFont="1" applyBorder="1" applyAlignment="1">
      <alignment horizontal="center" vertical="center"/>
    </xf>
    <xf numFmtId="0" fontId="26" fillId="2" borderId="5" xfId="0" applyFont="1" applyFill="1" applyBorder="1"/>
    <xf numFmtId="0" fontId="3" fillId="2" borderId="69" xfId="0" applyFont="1" applyFill="1" applyBorder="1"/>
    <xf numFmtId="0" fontId="6" fillId="0" borderId="14" xfId="0" applyFont="1" applyBorder="1" applyAlignment="1">
      <alignment horizontal="center"/>
    </xf>
    <xf numFmtId="0" fontId="7" fillId="2" borderId="7" xfId="0" applyFont="1" applyFill="1" applyBorder="1" applyAlignment="1"/>
    <xf numFmtId="0" fontId="7" fillId="2" borderId="7" xfId="0" applyFont="1" applyFill="1" applyBorder="1"/>
    <xf numFmtId="0" fontId="3" fillId="2" borderId="78" xfId="0" applyFont="1" applyFill="1" applyBorder="1"/>
    <xf numFmtId="0" fontId="3" fillId="2" borderId="67" xfId="0" applyFont="1" applyFill="1" applyBorder="1"/>
    <xf numFmtId="0" fontId="8" fillId="2" borderId="14" xfId="0" applyFont="1" applyFill="1" applyBorder="1"/>
    <xf numFmtId="58" fontId="7" fillId="2" borderId="5" xfId="0" applyNumberFormat="1" applyFont="1" applyFill="1" applyBorder="1"/>
    <xf numFmtId="0" fontId="3" fillId="2" borderId="79" xfId="0" applyFont="1" applyFill="1" applyBorder="1"/>
    <xf numFmtId="0" fontId="3" fillId="2" borderId="80" xfId="0" applyFont="1" applyFill="1" applyBorder="1"/>
    <xf numFmtId="0" fontId="3" fillId="2" borderId="81" xfId="0" applyFont="1" applyFill="1" applyBorder="1" applyAlignment="1">
      <alignment horizontal="center"/>
    </xf>
    <xf numFmtId="0" fontId="3" fillId="2" borderId="81" xfId="0" applyFont="1" applyFill="1" applyBorder="1" applyAlignment="1">
      <alignment horizontal="left"/>
    </xf>
    <xf numFmtId="0" fontId="3" fillId="2" borderId="82" xfId="0" applyFont="1" applyFill="1" applyBorder="1"/>
    <xf numFmtId="0" fontId="13" fillId="2" borderId="67" xfId="0" applyFont="1" applyFill="1" applyBorder="1" applyAlignment="1">
      <alignment horizontal="center"/>
    </xf>
    <xf numFmtId="0" fontId="11" fillId="2" borderId="0" xfId="0" applyFont="1" applyFill="1" applyBorder="1"/>
    <xf numFmtId="0" fontId="7" fillId="2" borderId="9" xfId="0" applyFont="1" applyFill="1" applyBorder="1"/>
    <xf numFmtId="0" fontId="3" fillId="2" borderId="83" xfId="0" applyFont="1" applyFill="1" applyBorder="1"/>
    <xf numFmtId="58" fontId="7" fillId="2" borderId="9" xfId="0" applyNumberFormat="1" applyFont="1" applyFill="1" applyBorder="1" applyAlignment="1">
      <alignment horizontal="left"/>
    </xf>
    <xf numFmtId="0" fontId="27" fillId="2" borderId="9" xfId="0" applyFont="1" applyFill="1" applyBorder="1" applyAlignment="1">
      <alignment horizontal="left" wrapText="1"/>
    </xf>
    <xf numFmtId="0" fontId="27" fillId="2" borderId="83" xfId="0" applyFont="1" applyFill="1" applyBorder="1" applyAlignment="1">
      <alignment horizontal="left" wrapText="1"/>
    </xf>
    <xf numFmtId="0" fontId="3" fillId="2" borderId="84" xfId="0" applyFont="1" applyFill="1" applyBorder="1"/>
    <xf numFmtId="0" fontId="14" fillId="0" borderId="78" xfId="0" applyFont="1" applyBorder="1" applyAlignment="1">
      <alignment horizontal="center" vertical="center"/>
    </xf>
    <xf numFmtId="0" fontId="1" fillId="0" borderId="67" xfId="0" applyFont="1" applyBorder="1"/>
    <xf numFmtId="0" fontId="14" fillId="0" borderId="14" xfId="0" applyFont="1" applyBorder="1" applyAlignment="1">
      <alignment vertical="center"/>
    </xf>
    <xf numFmtId="0" fontId="1" fillId="0" borderId="0" xfId="0" applyFont="1" applyBorder="1" applyAlignment="1">
      <alignment vertical="center"/>
    </xf>
    <xf numFmtId="0" fontId="14" fillId="0" borderId="67" xfId="0" applyFont="1" applyBorder="1" applyAlignment="1">
      <alignment vertical="center"/>
    </xf>
    <xf numFmtId="0" fontId="1" fillId="0" borderId="69" xfId="0" applyFont="1" applyBorder="1"/>
    <xf numFmtId="0" fontId="7" fillId="3" borderId="85" xfId="0" applyFont="1" applyFill="1" applyBorder="1" applyAlignment="1">
      <alignment horizontal="left"/>
    </xf>
    <xf numFmtId="0" fontId="7" fillId="3" borderId="18" xfId="0" applyFont="1" applyFill="1" applyBorder="1" applyAlignment="1">
      <alignment horizontal="left"/>
    </xf>
    <xf numFmtId="0" fontId="7" fillId="3" borderId="86" xfId="0" applyFont="1" applyFill="1" applyBorder="1" applyAlignment="1">
      <alignment horizontal="left"/>
    </xf>
    <xf numFmtId="9" fontId="15" fillId="0" borderId="22" xfId="0" applyNumberFormat="1" applyFont="1" applyFill="1" applyBorder="1" applyAlignment="1">
      <alignment horizontal="center"/>
    </xf>
    <xf numFmtId="0" fontId="3" fillId="2" borderId="87" xfId="0" applyFont="1" applyFill="1" applyBorder="1" applyAlignment="1">
      <alignment horizontal="center"/>
    </xf>
    <xf numFmtId="180" fontId="15" fillId="0" borderId="22" xfId="0" applyNumberFormat="1" applyFont="1" applyFill="1" applyBorder="1" applyAlignment="1">
      <alignment horizontal="center"/>
    </xf>
    <xf numFmtId="0" fontId="3" fillId="0" borderId="88" xfId="0" applyFont="1" applyFill="1" applyBorder="1" applyAlignment="1">
      <alignment horizontal="center"/>
    </xf>
    <xf numFmtId="0" fontId="3" fillId="0" borderId="89" xfId="0" applyFont="1" applyFill="1" applyBorder="1" applyAlignment="1">
      <alignment horizontal="center"/>
    </xf>
    <xf numFmtId="181" fontId="15" fillId="0" borderId="22" xfId="0" applyNumberFormat="1" applyFont="1" applyFill="1" applyBorder="1" applyAlignment="1">
      <alignment horizontal="center"/>
    </xf>
    <xf numFmtId="0" fontId="15" fillId="0" borderId="22" xfId="0" applyFont="1" applyFill="1" applyBorder="1" applyAlignment="1">
      <alignment horizontal="center"/>
    </xf>
    <xf numFmtId="0" fontId="3" fillId="2" borderId="31" xfId="0" applyFont="1" applyFill="1" applyBorder="1" applyAlignment="1">
      <alignment horizontal="center"/>
    </xf>
    <xf numFmtId="0" fontId="3" fillId="2" borderId="90" xfId="0" applyFont="1" applyFill="1" applyBorder="1" applyAlignment="1">
      <alignment horizontal="center"/>
    </xf>
    <xf numFmtId="0" fontId="3" fillId="2" borderId="91" xfId="0" applyFont="1" applyFill="1" applyBorder="1" applyAlignment="1">
      <alignment horizontal="center"/>
    </xf>
    <xf numFmtId="0" fontId="16" fillId="3" borderId="92" xfId="0" applyFont="1" applyFill="1" applyBorder="1" applyAlignment="1">
      <alignment horizontal="center"/>
    </xf>
    <xf numFmtId="0" fontId="3" fillId="2" borderId="93" xfId="0" applyFont="1" applyFill="1" applyBorder="1" applyAlignment="1">
      <alignment horizontal="center"/>
    </xf>
    <xf numFmtId="0" fontId="3" fillId="2" borderId="94" xfId="0" applyFont="1" applyFill="1" applyBorder="1" applyAlignment="1">
      <alignment horizontal="center"/>
    </xf>
    <xf numFmtId="0" fontId="3" fillId="2" borderId="95" xfId="0" applyFont="1" applyFill="1" applyBorder="1" applyAlignment="1">
      <alignment horizontal="center"/>
    </xf>
    <xf numFmtId="0" fontId="7" fillId="3" borderId="96" xfId="0" applyFont="1" applyFill="1" applyBorder="1" applyAlignment="1">
      <alignment horizontal="center"/>
    </xf>
    <xf numFmtId="0" fontId="7" fillId="3" borderId="92" xfId="0" applyFont="1" applyFill="1" applyBorder="1" applyAlignment="1">
      <alignment horizontal="center"/>
    </xf>
    <xf numFmtId="0" fontId="1" fillId="0" borderId="93" xfId="0" applyFont="1" applyBorder="1"/>
    <xf numFmtId="0" fontId="3" fillId="3" borderId="97" xfId="0" applyFont="1" applyFill="1" applyBorder="1" applyAlignment="1">
      <alignment horizontal="center" vertical="center"/>
    </xf>
    <xf numFmtId="0" fontId="3" fillId="3" borderId="98" xfId="0" applyFont="1" applyFill="1" applyBorder="1" applyAlignment="1">
      <alignment horizontal="center" vertical="center"/>
    </xf>
    <xf numFmtId="0" fontId="3" fillId="3" borderId="99" xfId="0" applyFont="1" applyFill="1" applyBorder="1" applyAlignment="1">
      <alignment horizontal="center" vertical="center" wrapText="1"/>
    </xf>
    <xf numFmtId="0" fontId="16" fillId="3" borderId="34" xfId="0" applyFont="1" applyFill="1" applyBorder="1" applyAlignment="1">
      <alignment horizontal="center" wrapText="1"/>
    </xf>
    <xf numFmtId="0" fontId="16" fillId="3" borderId="93" xfId="0" applyFont="1" applyFill="1" applyBorder="1" applyAlignment="1">
      <alignment horizontal="center" wrapText="1"/>
    </xf>
    <xf numFmtId="0" fontId="3" fillId="3" borderId="100" xfId="0" applyFont="1" applyFill="1" applyBorder="1" applyAlignment="1">
      <alignment horizontal="center" vertical="center"/>
    </xf>
    <xf numFmtId="0" fontId="3" fillId="3" borderId="101" xfId="0" applyFont="1" applyFill="1" applyBorder="1" applyAlignment="1">
      <alignment horizontal="center" vertical="center"/>
    </xf>
    <xf numFmtId="0" fontId="3" fillId="3" borderId="102" xfId="0" applyFont="1" applyFill="1" applyBorder="1" applyAlignment="1">
      <alignment horizontal="center" vertical="center" wrapText="1"/>
    </xf>
    <xf numFmtId="0" fontId="16" fillId="3" borderId="22" xfId="0" applyFont="1" applyFill="1" applyBorder="1" applyAlignment="1">
      <alignment horizontal="center" vertical="center"/>
    </xf>
    <xf numFmtId="0" fontId="16" fillId="3" borderId="87" xfId="0" applyFont="1" applyFill="1" applyBorder="1" applyAlignment="1">
      <alignment horizontal="center" vertical="center" wrapText="1"/>
    </xf>
    <xf numFmtId="0" fontId="3" fillId="2" borderId="25" xfId="0" applyFont="1" applyFill="1" applyBorder="1"/>
    <xf numFmtId="0" fontId="7" fillId="0" borderId="22" xfId="0" applyFont="1" applyFill="1" applyBorder="1" applyAlignment="1">
      <alignment horizontal="center"/>
    </xf>
    <xf numFmtId="0" fontId="7" fillId="4" borderId="22" xfId="0" applyFont="1" applyFill="1" applyBorder="1" applyAlignment="1">
      <alignment horizontal="center"/>
    </xf>
    <xf numFmtId="0" fontId="3" fillId="2" borderId="30" xfId="0" applyFont="1" applyFill="1" applyBorder="1"/>
    <xf numFmtId="0" fontId="3" fillId="2" borderId="25" xfId="0" applyFont="1" applyFill="1" applyBorder="1" applyAlignment="1"/>
    <xf numFmtId="0" fontId="3" fillId="2" borderId="30" xfId="0" applyFont="1" applyFill="1" applyBorder="1" applyAlignment="1"/>
    <xf numFmtId="0" fontId="3" fillId="2" borderId="103" xfId="0" applyFont="1" applyFill="1" applyBorder="1"/>
    <xf numFmtId="0" fontId="3" fillId="2" borderId="99" xfId="0" applyFont="1" applyFill="1" applyBorder="1"/>
    <xf numFmtId="0" fontId="7" fillId="4" borderId="99" xfId="0" applyFont="1" applyFill="1" applyBorder="1" applyAlignment="1">
      <alignment horizontal="center"/>
    </xf>
    <xf numFmtId="0" fontId="3" fillId="2" borderId="99" xfId="0" applyFont="1" applyFill="1" applyBorder="1" applyAlignment="1">
      <alignment horizontal="center"/>
    </xf>
    <xf numFmtId="0" fontId="3" fillId="2" borderId="104" xfId="0" applyFont="1" applyFill="1" applyBorder="1" applyAlignment="1">
      <alignment horizontal="center"/>
    </xf>
    <xf numFmtId="0" fontId="27" fillId="2" borderId="105" xfId="0" applyFont="1" applyFill="1" applyBorder="1" applyAlignment="1"/>
    <xf numFmtId="0" fontId="7" fillId="2" borderId="106" xfId="0" applyFont="1" applyFill="1" applyBorder="1" applyAlignment="1">
      <alignment horizontal="center"/>
    </xf>
    <xf numFmtId="0" fontId="7" fillId="2" borderId="75" xfId="0" applyFont="1" applyFill="1" applyBorder="1" applyAlignment="1">
      <alignment horizontal="center"/>
    </xf>
    <xf numFmtId="0" fontId="7" fillId="2" borderId="77" xfId="0" applyFont="1" applyFill="1" applyBorder="1" applyAlignment="1">
      <alignment horizontal="center"/>
    </xf>
    <xf numFmtId="0" fontId="3" fillId="2" borderId="65" xfId="0" applyFont="1" applyFill="1" applyBorder="1" applyAlignment="1">
      <alignment horizontal="center"/>
    </xf>
    <xf numFmtId="0" fontId="7" fillId="4" borderId="107" xfId="0" applyFont="1" applyFill="1" applyBorder="1" applyAlignment="1">
      <alignment horizontal="center"/>
    </xf>
    <xf numFmtId="0" fontId="7" fillId="4" borderId="108" xfId="0" applyFont="1" applyFill="1" applyBorder="1" applyAlignment="1">
      <alignment horizontal="center"/>
    </xf>
    <xf numFmtId="0" fontId="7" fillId="4" borderId="109" xfId="0" applyFont="1" applyFill="1" applyBorder="1" applyAlignment="1">
      <alignment horizontal="center"/>
    </xf>
    <xf numFmtId="0" fontId="28" fillId="2" borderId="1" xfId="0" applyFont="1" applyFill="1" applyBorder="1" applyAlignment="1">
      <alignment horizontal="center"/>
    </xf>
    <xf numFmtId="0" fontId="28" fillId="2" borderId="2" xfId="0" applyFont="1" applyFill="1" applyBorder="1" applyAlignment="1">
      <alignment horizontal="center"/>
    </xf>
    <xf numFmtId="0" fontId="28" fillId="2" borderId="110" xfId="0" applyFont="1" applyFill="1" applyBorder="1" applyAlignment="1">
      <alignment horizontal="center"/>
    </xf>
    <xf numFmtId="0" fontId="1" fillId="0" borderId="4" xfId="0" applyFont="1" applyBorder="1" applyAlignment="1"/>
    <xf numFmtId="0" fontId="1" fillId="0" borderId="5" xfId="0" applyFont="1" applyBorder="1" applyAlignment="1"/>
    <xf numFmtId="0" fontId="1" fillId="0" borderId="69" xfId="0" applyFont="1" applyBorder="1" applyAlignment="1"/>
    <xf numFmtId="0" fontId="29" fillId="0" borderId="3" xfId="0" applyFont="1" applyBorder="1" applyAlignment="1">
      <alignment horizontal="center" wrapText="1"/>
    </xf>
    <xf numFmtId="0" fontId="29" fillId="0" borderId="0" xfId="0" applyFont="1" applyBorder="1" applyAlignment="1">
      <alignment horizontal="center" wrapText="1"/>
    </xf>
    <xf numFmtId="0" fontId="29" fillId="0" borderId="67" xfId="0" applyFont="1" applyBorder="1" applyAlignment="1">
      <alignment horizontal="center" wrapText="1"/>
    </xf>
    <xf numFmtId="0" fontId="29" fillId="0" borderId="65" xfId="0" applyFont="1" applyBorder="1" applyAlignment="1">
      <alignment horizontal="center" wrapText="1"/>
    </xf>
    <xf numFmtId="0" fontId="29" fillId="0" borderId="66" xfId="0" applyFont="1" applyBorder="1" applyAlignment="1">
      <alignment horizontal="center" wrapText="1"/>
    </xf>
    <xf numFmtId="0" fontId="29" fillId="0" borderId="111" xfId="0" applyFont="1" applyBorder="1" applyAlignment="1">
      <alignment horizontal="center" wrapText="1"/>
    </xf>
    <xf numFmtId="0" fontId="16" fillId="2" borderId="70" xfId="47" applyFont="1" applyFill="1" applyBorder="1" applyAlignment="1">
      <alignment vertical="center"/>
    </xf>
    <xf numFmtId="58" fontId="16" fillId="2" borderId="72" xfId="47" applyNumberFormat="1" applyFont="1" applyFill="1" applyBorder="1" applyAlignment="1">
      <alignment vertical="center"/>
    </xf>
    <xf numFmtId="0" fontId="16" fillId="2" borderId="73" xfId="47" applyFont="1" applyFill="1" applyBorder="1" applyAlignment="1">
      <alignment vertical="center"/>
    </xf>
    <xf numFmtId="0" fontId="7" fillId="2" borderId="22" xfId="0" applyFont="1" applyFill="1" applyBorder="1" applyAlignment="1" quotePrefix="1">
      <alignment horizontal="center"/>
    </xf>
    <xf numFmtId="0" fontId="3" fillId="2" borderId="22" xfId="0" applyFont="1" applyFill="1" applyBorder="1" applyAlignment="1" quotePrefix="1">
      <alignment horizontal="center"/>
    </xf>
    <xf numFmtId="0" fontId="7" fillId="3" borderId="3" xfId="0" applyFont="1" applyFill="1" applyBorder="1" applyAlignment="1" quotePrefix="1">
      <alignment horizontal="center" vertical="center"/>
    </xf>
    <xf numFmtId="0" fontId="20" fillId="0" borderId="58" xfId="0" applyFont="1" applyFill="1" applyBorder="1" applyAlignment="1" quotePrefix="1">
      <alignment horizontal="left" vertical="center"/>
    </xf>
    <xf numFmtId="0" fontId="7" fillId="2" borderId="61" xfId="0" applyFont="1" applyFill="1" applyBorder="1" applyAlignment="1" quotePrefix="1">
      <alignment horizontal="left" vertical="center"/>
    </xf>
    <xf numFmtId="0" fontId="29" fillId="0" borderId="3" xfId="0" applyFont="1" applyBorder="1" applyAlignment="1" quotePrefix="1">
      <alignment horizontal="center" wrapText="1"/>
    </xf>
    <xf numFmtId="0" fontId="1" fillId="0" borderId="0" xfId="0" applyFont="1" quotePrefix="1"/>
  </cellXfs>
  <cellStyles count="48">
    <cellStyle name="Normal" xfId="0" builtinId="0"/>
    <cellStyle name="Comma" xfId="1" builtinId="3"/>
    <cellStyle name="Currency" xfId="2" builtinId="4"/>
    <cellStyle name="Percent" xfId="3" builtinId="5"/>
    <cellStyle name="Comma [0]" xfId="4" builtinId="6"/>
    <cellStyle name="Currency [0]" xfId="5" builtinId="7"/>
    <cellStyle name="Note" xfId="6" builtinId="10"/>
    <cellStyle name="Warning Text" xfId="7" builtinId="11"/>
    <cellStyle name="Title" xfId="8" builtinId="15"/>
    <cellStyle name="CExplanatory Text" xfId="9" builtinId="53"/>
    <cellStyle name="Heading 1" xfId="10" builtinId="16"/>
    <cellStyle name="Heading 2" xfId="11" builtinId="17"/>
    <cellStyle name="Heading 3" xfId="12" builtinId="18"/>
    <cellStyle name="Heading 4" xfId="13" builtinId="19"/>
    <cellStyle name="Input" xfId="14" builtinId="20"/>
    <cellStyle name="Output" xfId="15" builtinId="21"/>
    <cellStyle name="Calculation" xfId="16" builtinId="22"/>
    <cellStyle name="Check Cell" xfId="17" builtinId="23"/>
    <cellStyle name="Linked Cell" xfId="18" builtinId="24"/>
    <cellStyle name="Total" xfId="19" builtinId="25"/>
    <cellStyle name="Good" xfId="20" builtinId="26"/>
    <cellStyle name="Bad" xfId="21" builtinId="27"/>
    <cellStyle name="Neutral" xfId="22" builtinId="28"/>
    <cellStyle name="Accent1" xfId="23" builtinId="29"/>
    <cellStyle name="20% - Accent1" xfId="24" builtinId="30"/>
    <cellStyle name="40% - Accent1" xfId="25" builtinId="31"/>
    <cellStyle name="60% - Accent1" xfId="26" builtinId="32"/>
    <cellStyle name="Accent2" xfId="27" builtinId="33"/>
    <cellStyle name="20% - Accent2" xfId="28" builtinId="34"/>
    <cellStyle name="40% - Accent2" xfId="29" builtinId="35"/>
    <cellStyle name="60% - Accent2" xfId="30" builtinId="36"/>
    <cellStyle name="Accent3" xfId="31" builtinId="37"/>
    <cellStyle name="20% - Accent3" xfId="32" builtinId="38"/>
    <cellStyle name="40% - Accent3" xfId="33" builtinId="39"/>
    <cellStyle name="60% - Accent3" xfId="34" builtinId="40"/>
    <cellStyle name="Accent4" xfId="35" builtinId="41"/>
    <cellStyle name="20% - Accent4" xfId="36" builtinId="42"/>
    <cellStyle name="40% - Accent4" xfId="37" builtinId="43"/>
    <cellStyle name="60% - Accent4" xfId="38" builtinId="44"/>
    <cellStyle name="Accent5" xfId="39" builtinId="45"/>
    <cellStyle name="20% - Accent5" xfId="40" builtinId="46"/>
    <cellStyle name="40% - Accent5" xfId="41" builtinId="47"/>
    <cellStyle name="60% - Accent5" xfId="42" builtinId="48"/>
    <cellStyle name="Accent6" xfId="43" builtinId="49"/>
    <cellStyle name="20% - Accent6" xfId="44" builtinId="50"/>
    <cellStyle name="40% - Accent6" xfId="45" builtinId="51"/>
    <cellStyle name="60% - Accent6" xfId="46" builtinId="52"/>
    <cellStyle name="Normal 2" xfId="47"/>
  </cellStyles>
  <tableStyles count="0" defaultTableStyle="TableStyleMedium9" defaultPivotStyle="PivotStyleMedium4"/>
  <colors>
    <mruColors>
      <color rgb="00FFFF66"/>
      <color rgb="00C302B9"/>
      <color rgb="00C759C0"/>
      <color rgb="00B72EC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923461525320232"/>
          <c:y val="0.0259463523818624"/>
          <c:w val="0.883557074520789"/>
          <c:h val="0.814821024527141"/>
        </c:manualLayout>
      </c:layout>
      <c:scatterChart>
        <c:scatterStyle val="lineMarker"/>
        <c:varyColors val="0"/>
        <c:ser>
          <c:idx val="0"/>
          <c:order val="0"/>
          <c:spPr>
            <a:ln w="38100" cap="rnd" cmpd="sng" algn="ctr">
              <a:solidFill>
                <a:srgbClr val="000090"/>
              </a:solidFill>
              <a:prstDash val="solid"/>
              <a:round/>
            </a:ln>
          </c:spPr>
          <c:marker>
            <c:symbol val="diamond"/>
            <c:size val="8"/>
            <c:spPr>
              <a:solidFill>
                <a:srgbClr val="0000FF"/>
              </a:solidFill>
              <a:ln w="9525" cap="flat" cmpd="sng" algn="ctr">
                <a:solidFill>
                  <a:srgbClr val="000080"/>
                </a:solidFill>
                <a:prstDash val="solid"/>
                <a:round/>
              </a:ln>
            </c:spPr>
          </c:marker>
          <c:dLbls>
            <c:delete val="1"/>
          </c:dLbls>
          <c:xVal>
            <c:numRef>
              <c:f>Feuil1!$I$34:$I$49</c:f>
              <c:numCache>
                <c:formatCode>General</c:formatCode>
                <c:ptCount val="16"/>
                <c:pt idx="0">
                  <c:v>75</c:v>
                </c:pt>
                <c:pt idx="1">
                  <c:v>63</c:v>
                </c:pt>
                <c:pt idx="2">
                  <c:v>37.5</c:v>
                </c:pt>
                <c:pt idx="3">
                  <c:v>26.5</c:v>
                </c:pt>
                <c:pt idx="4">
                  <c:v>19</c:v>
                </c:pt>
                <c:pt idx="5">
                  <c:v>13.2</c:v>
                </c:pt>
                <c:pt idx="6">
                  <c:v>9.5</c:v>
                </c:pt>
                <c:pt idx="7">
                  <c:v>6.7</c:v>
                </c:pt>
                <c:pt idx="8">
                  <c:v>4.75</c:v>
                </c:pt>
                <c:pt idx="9">
                  <c:v>2.36</c:v>
                </c:pt>
                <c:pt idx="10">
                  <c:v>1.18</c:v>
                </c:pt>
                <c:pt idx="11">
                  <c:v>0.6</c:v>
                </c:pt>
                <c:pt idx="12">
                  <c:v>0.425</c:v>
                </c:pt>
                <c:pt idx="13">
                  <c:v>0.3</c:v>
                </c:pt>
                <c:pt idx="14">
                  <c:v>0.15</c:v>
                </c:pt>
                <c:pt idx="15">
                  <c:v>0.075</c:v>
                </c:pt>
              </c:numCache>
            </c:numRef>
          </c:xVal>
          <c:yVal>
            <c:numRef>
              <c:f>Feuil1!$K$34:$K$49</c:f>
              <c:numCache>
                <c:formatCode>General</c:formatCode>
                <c:ptCount val="16"/>
                <c:pt idx="2">
                  <c:v>100</c:v>
                </c:pt>
                <c:pt idx="3">
                  <c:v>98</c:v>
                </c:pt>
                <c:pt idx="4">
                  <c:v>96</c:v>
                </c:pt>
                <c:pt idx="5">
                  <c:v>92</c:v>
                </c:pt>
                <c:pt idx="6">
                  <c:v>86</c:v>
                </c:pt>
                <c:pt idx="7">
                  <c:v>80</c:v>
                </c:pt>
                <c:pt idx="8">
                  <c:v>74</c:v>
                </c:pt>
                <c:pt idx="9">
                  <c:v>61</c:v>
                </c:pt>
                <c:pt idx="10">
                  <c:v>52</c:v>
                </c:pt>
                <c:pt idx="11">
                  <c:v>47</c:v>
                </c:pt>
                <c:pt idx="12">
                  <c:v>45</c:v>
                </c:pt>
                <c:pt idx="13">
                  <c:v>44</c:v>
                </c:pt>
                <c:pt idx="14">
                  <c:v>41</c:v>
                </c:pt>
                <c:pt idx="15">
                  <c:v>39</c:v>
                </c:pt>
              </c:numCache>
            </c:numRef>
          </c:yVal>
          <c:smooth val="0"/>
        </c:ser>
        <c:ser>
          <c:idx val="1"/>
          <c:order val="1"/>
          <c:spPr>
            <a:ln w="19050" cap="rnd" cmpd="sng" algn="ctr">
              <a:solidFill>
                <a:srgbClr val="B72EC7"/>
              </a:solidFill>
              <a:prstDash val="solid"/>
              <a:round/>
            </a:ln>
          </c:spPr>
          <c:marker>
            <c:symbol val="triangle"/>
            <c:size val="4"/>
            <c:spPr>
              <a:solidFill>
                <a:schemeClr val="accent6">
                  <a:lumMod val="75000"/>
                </a:schemeClr>
              </a:solidFill>
            </c:spPr>
          </c:marker>
          <c:dLbls>
            <c:delete val="1"/>
          </c:dLbls>
          <c:xVal>
            <c:numRef>
              <c:f>Feuil1!$I$34:$I$49</c:f>
              <c:numCache>
                <c:formatCode>General</c:formatCode>
                <c:ptCount val="16"/>
                <c:pt idx="0">
                  <c:v>75</c:v>
                </c:pt>
                <c:pt idx="1">
                  <c:v>63</c:v>
                </c:pt>
                <c:pt idx="2">
                  <c:v>37.5</c:v>
                </c:pt>
                <c:pt idx="3">
                  <c:v>26.5</c:v>
                </c:pt>
                <c:pt idx="4">
                  <c:v>19</c:v>
                </c:pt>
                <c:pt idx="5">
                  <c:v>13.2</c:v>
                </c:pt>
                <c:pt idx="6">
                  <c:v>9.5</c:v>
                </c:pt>
                <c:pt idx="7">
                  <c:v>6.7</c:v>
                </c:pt>
                <c:pt idx="8">
                  <c:v>4.75</c:v>
                </c:pt>
                <c:pt idx="9">
                  <c:v>2.36</c:v>
                </c:pt>
                <c:pt idx="10">
                  <c:v>1.18</c:v>
                </c:pt>
                <c:pt idx="11">
                  <c:v>0.6</c:v>
                </c:pt>
                <c:pt idx="12">
                  <c:v>0.425</c:v>
                </c:pt>
                <c:pt idx="13">
                  <c:v>0.3</c:v>
                </c:pt>
                <c:pt idx="14">
                  <c:v>0.15</c:v>
                </c:pt>
                <c:pt idx="15">
                  <c:v>0.075</c:v>
                </c:pt>
              </c:numCache>
            </c:numRef>
          </c:xVal>
          <c:yVal>
            <c:numRef>
              <c:f>Feuil1!$L$34:$L$49</c:f>
              <c:numCache>
                <c:formatCode>General</c:formatCode>
                <c:ptCount val="16"/>
              </c:numCache>
            </c:numRef>
          </c:yVal>
          <c:smooth val="0"/>
        </c:ser>
        <c:ser>
          <c:idx val="2"/>
          <c:order val="2"/>
          <c:spPr>
            <a:ln w="19050" cap="rnd" cmpd="sng" algn="ctr">
              <a:solidFill>
                <a:srgbClr val="C302B9"/>
              </a:solidFill>
              <a:prstDash val="solid"/>
              <a:round/>
            </a:ln>
          </c:spPr>
          <c:marker>
            <c:symbol val="triangle"/>
            <c:size val="4"/>
            <c:spPr>
              <a:solidFill>
                <a:schemeClr val="accent6">
                  <a:lumMod val="75000"/>
                </a:schemeClr>
              </a:solidFill>
              <a:ln w="9525" cap="flat" cmpd="sng" algn="ctr">
                <a:solidFill>
                  <a:srgbClr val="002060"/>
                </a:solidFill>
                <a:prstDash val="solid"/>
                <a:round/>
              </a:ln>
            </c:spPr>
          </c:marker>
          <c:dLbls>
            <c:delete val="1"/>
          </c:dLbls>
          <c:xVal>
            <c:numRef>
              <c:f>Feuil1!$I$34:$I$49</c:f>
              <c:numCache>
                <c:formatCode>General</c:formatCode>
                <c:ptCount val="16"/>
                <c:pt idx="0">
                  <c:v>75</c:v>
                </c:pt>
                <c:pt idx="1">
                  <c:v>63</c:v>
                </c:pt>
                <c:pt idx="2">
                  <c:v>37.5</c:v>
                </c:pt>
                <c:pt idx="3">
                  <c:v>26.5</c:v>
                </c:pt>
                <c:pt idx="4">
                  <c:v>19</c:v>
                </c:pt>
                <c:pt idx="5">
                  <c:v>13.2</c:v>
                </c:pt>
                <c:pt idx="6">
                  <c:v>9.5</c:v>
                </c:pt>
                <c:pt idx="7">
                  <c:v>6.7</c:v>
                </c:pt>
                <c:pt idx="8">
                  <c:v>4.75</c:v>
                </c:pt>
                <c:pt idx="9">
                  <c:v>2.36</c:v>
                </c:pt>
                <c:pt idx="10">
                  <c:v>1.18</c:v>
                </c:pt>
                <c:pt idx="11">
                  <c:v>0.6</c:v>
                </c:pt>
                <c:pt idx="12">
                  <c:v>0.425</c:v>
                </c:pt>
                <c:pt idx="13">
                  <c:v>0.3</c:v>
                </c:pt>
                <c:pt idx="14">
                  <c:v>0.15</c:v>
                </c:pt>
                <c:pt idx="15">
                  <c:v>0.075</c:v>
                </c:pt>
              </c:numCache>
            </c:numRef>
          </c:xVal>
          <c:yVal>
            <c:numRef>
              <c:f>Feuil1!$M$34:$M$49</c:f>
              <c:numCache>
                <c:formatCode>General</c:formatCode>
                <c:ptCount val="16"/>
              </c:numCache>
            </c:numRef>
          </c:yVal>
          <c:smooth val="0"/>
        </c:ser>
        <c:dLbls>
          <c:showLegendKey val="0"/>
          <c:showVal val="0"/>
          <c:showCatName val="0"/>
          <c:showSerName val="0"/>
          <c:showPercent val="0"/>
          <c:showBubbleSize val="0"/>
        </c:dLbls>
        <c:axId val="55542528"/>
        <c:axId val="55563392"/>
      </c:scatterChart>
      <c:valAx>
        <c:axId val="55542528"/>
        <c:scaling>
          <c:logBase val="10"/>
          <c:orientation val="minMax"/>
        </c:scaling>
        <c:delete val="0"/>
        <c:axPos val="b"/>
        <c:minorGridlines>
          <c:spPr>
            <a:ln w="3175" cap="flat" cmpd="sng" algn="ctr">
              <a:solidFill>
                <a:schemeClr val="tx1">
                  <a:lumMod val="65000"/>
                  <a:lumOff val="35000"/>
                </a:schemeClr>
              </a:solidFill>
              <a:prstDash val="solid"/>
              <a:round/>
            </a:ln>
          </c:spPr>
        </c:minorGridlines>
        <c:title>
          <c:tx>
            <c:rich>
              <a:bodyPr rot="0" spcFirstLastPara="0" vertOverflow="ellipsis" vert="horz" wrap="square" anchor="ctr" anchorCtr="1"/>
              <a:lstStyle/>
              <a:p>
                <a:pPr>
                  <a:defRPr lang="en-AU" sz="1200" b="0" i="0" u="none" strike="noStrike" kern="1200" baseline="0">
                    <a:solidFill>
                      <a:srgbClr val="000000"/>
                    </a:solidFill>
                    <a:latin typeface="Arial" panose="020B0604020202020204"/>
                    <a:ea typeface="Arial" panose="020B0604020202020204"/>
                    <a:cs typeface="Arial" panose="020B0604020202020204"/>
                  </a:defRPr>
                </a:pPr>
                <a:r>
                  <a:rPr lang="en-AU"/>
                  <a:t>SIEVE SIZES (mm)</a:t>
                </a:r>
                <a:endParaRPr lang="en-AU"/>
              </a:p>
            </c:rich>
          </c:tx>
          <c:layout>
            <c:manualLayout>
              <c:xMode val="edge"/>
              <c:yMode val="edge"/>
              <c:x val="0.478075863834512"/>
              <c:y val="0.921615405402414"/>
            </c:manualLayout>
          </c:layout>
          <c:overlay val="0"/>
          <c:spPr>
            <a:noFill/>
            <a:ln w="25400">
              <a:noFill/>
            </a:ln>
          </c:spPr>
        </c:title>
        <c:numFmt formatCode="General" sourceLinked="1"/>
        <c:majorTickMark val="out"/>
        <c:minorTickMark val="none"/>
        <c:tickLblPos val="low"/>
        <c:spPr>
          <a:ln w="3175" cap="flat" cmpd="sng" algn="ctr">
            <a:solidFill>
              <a:srgbClr val="000000"/>
            </a:solidFill>
            <a:prstDash val="solid"/>
            <a:round/>
          </a:ln>
        </c:spPr>
        <c:txPr>
          <a:bodyPr rot="0" spcFirstLastPara="0" vertOverflow="ellipsis" vert="horz" wrap="square" anchor="ctr" anchorCtr="1"/>
          <a:lstStyle/>
          <a:p>
            <a:pPr>
              <a:defRPr lang="en-AU" sz="1200" b="0" i="0" u="none" strike="noStrike" kern="1200" baseline="0">
                <a:solidFill>
                  <a:srgbClr val="000000"/>
                </a:solidFill>
                <a:latin typeface="Arial" panose="020B0604020202020204"/>
                <a:ea typeface="Arial" panose="020B0604020202020204"/>
                <a:cs typeface="Arial" panose="020B0604020202020204"/>
              </a:defRPr>
            </a:pPr>
          </a:p>
        </c:txPr>
        <c:crossAx val="55563392"/>
        <c:crossesAt val="0"/>
        <c:crossBetween val="midCat"/>
      </c:valAx>
      <c:valAx>
        <c:axId val="55563392"/>
        <c:scaling>
          <c:orientation val="minMax"/>
          <c:max val="100"/>
          <c:min val="0"/>
        </c:scaling>
        <c:delete val="0"/>
        <c:axPos val="l"/>
        <c:majorGridlines>
          <c:spPr>
            <a:ln w="3175" cap="flat" cmpd="sng" algn="ctr">
              <a:solidFill>
                <a:schemeClr val="tx1">
                  <a:lumMod val="65000"/>
                  <a:lumOff val="35000"/>
                </a:schemeClr>
              </a:solidFill>
              <a:prstDash val="solid"/>
              <a:round/>
            </a:ln>
          </c:spPr>
        </c:majorGridlines>
        <c:title>
          <c:tx>
            <c:rich>
              <a:bodyPr rot="-5400000" spcFirstLastPara="0" vertOverflow="ellipsis" vert="horz" wrap="square" anchor="ctr" anchorCtr="1"/>
              <a:lstStyle/>
              <a:p>
                <a:pPr>
                  <a:defRPr lang="en-AU" sz="1200" b="0" i="0" u="none" strike="noStrike" kern="1200" baseline="0">
                    <a:solidFill>
                      <a:srgbClr val="000000"/>
                    </a:solidFill>
                    <a:latin typeface="Arial" panose="020B0604020202020204"/>
                    <a:ea typeface="Arial" panose="020B0604020202020204"/>
                    <a:cs typeface="Arial" panose="020B0604020202020204"/>
                  </a:defRPr>
                </a:pPr>
                <a:r>
                  <a:rPr lang="en-AU"/>
                  <a:t>PERCENTAGE PASSING %</a:t>
                </a:r>
                <a:endParaRPr lang="en-AU"/>
              </a:p>
            </c:rich>
          </c:tx>
          <c:layout>
            <c:manualLayout>
              <c:xMode val="edge"/>
              <c:yMode val="edge"/>
              <c:x val="0.0117547893492349"/>
              <c:y val="0.24251858411843"/>
            </c:manualLayout>
          </c:layout>
          <c:overlay val="0"/>
          <c:spPr>
            <a:noFill/>
            <a:ln w="25400">
              <a:noFill/>
            </a:ln>
          </c:spPr>
        </c:title>
        <c:numFmt formatCode="General" sourceLinked="1"/>
        <c:majorTickMark val="out"/>
        <c:minorTickMark val="none"/>
        <c:tickLblPos val="low"/>
        <c:spPr>
          <a:ln w="3175" cap="flat" cmpd="sng" algn="ctr">
            <a:solidFill>
              <a:schemeClr val="tx1">
                <a:lumMod val="65000"/>
                <a:lumOff val="35000"/>
              </a:schemeClr>
            </a:solidFill>
            <a:prstDash val="solid"/>
            <a:round/>
          </a:ln>
        </c:spPr>
        <c:txPr>
          <a:bodyPr rot="0" spcFirstLastPara="0" vertOverflow="ellipsis" vert="horz" wrap="square" anchor="ctr" anchorCtr="1"/>
          <a:lstStyle/>
          <a:p>
            <a:pPr>
              <a:defRPr lang="en-AU" sz="1200" b="0" i="0" u="none" strike="noStrike" kern="1200" baseline="0">
                <a:solidFill>
                  <a:srgbClr val="000000"/>
                </a:solidFill>
                <a:latin typeface="Arial" panose="020B0604020202020204"/>
                <a:ea typeface="Arial" panose="020B0604020202020204"/>
                <a:cs typeface="Arial" panose="020B0604020202020204"/>
              </a:defRPr>
            </a:pPr>
          </a:p>
        </c:txPr>
        <c:crossAx val="55542528"/>
        <c:crossesAt val="1"/>
        <c:crossBetween val="midCat"/>
        <c:majorUnit val="10"/>
        <c:minorUnit val="1"/>
      </c:valAx>
      <c:spPr>
        <a:noFill/>
        <a:ln w="19050">
          <a:solidFill>
            <a:schemeClr val="tx1">
              <a:lumMod val="65000"/>
              <a:lumOff val="35000"/>
            </a:schemeClr>
          </a:solidFill>
          <a:prstDash val="solid"/>
        </a:ln>
        <a:effectLst/>
        <a:scene3d>
          <a:camera prst="orthographicFront"/>
          <a:lightRig rig="threePt" dir="t"/>
        </a:scene3d>
        <a:sp3d/>
      </c:spPr>
    </c:plotArea>
    <c:plotVisOnly val="1"/>
    <c:dispBlanksAs val="span"/>
    <c:showDLblsOverMax val="0"/>
    <c:extLst>
      <c:ext uri="{0b15fc19-7d7d-44ad-8c2d-2c3a37ce22c3}">
        <chartProps xmlns="https://web.wps.cn/et/2018/main" chartId="{25fc0e50-cfee-4c2d-af98-3518ede72cf2}"/>
      </c:ext>
    </c:extLst>
  </c:chart>
  <c:spPr>
    <a:solidFill>
      <a:srgbClr val="FFFFFF"/>
    </a:solidFill>
    <a:ln w="3175" cap="flat" cmpd="sng" algn="ctr">
      <a:noFill/>
      <a:prstDash val="solid"/>
      <a:round/>
    </a:ln>
  </c:spPr>
  <c:txPr>
    <a:bodyPr/>
    <a:lstStyle/>
    <a:p>
      <a:pPr>
        <a:defRPr lang="en-US" sz="1200" b="0" i="0" u="none" strike="noStrike" baseline="0">
          <a:solidFill>
            <a:srgbClr val="000000"/>
          </a:solidFill>
          <a:latin typeface="Arial" panose="020B0604020202020204"/>
          <a:ea typeface="Arial" panose="020B0604020202020204"/>
          <a:cs typeface="Arial" panose="020B0604020202020204"/>
        </a:defRPr>
      </a:pPr>
    </a:p>
  </c:txPr>
  <c:printSettings>
    <c:headerFooter/>
    <c:pageMargins b="0.75" l="0.7" r="0.7" t="0.75" header="0.3" footer="0.3"/>
    <c:pageSetup/>
  </c:printSettings>
</c:chartSpace>
</file>

<file path=xl/ctrlProps/ctrlProp1.xml><?xml version="1.0" encoding="utf-8"?>
<formControlPr xmlns="http://schemas.microsoft.com/office/spreadsheetml/2009/9/main" objectType="CheckBox" noThreeD="1" val="0"/>
</file>

<file path=xl/ctrlProps/ctrlProp2.xml><?xml version="1.0" encoding="utf-8"?>
<formControlPr xmlns="http://schemas.microsoft.com/office/spreadsheetml/2009/9/main" objectType="CheckBox" noThreeD="1" val="0"/>
</file>

<file path=xl/ctrlProps/ctrlProp3.xml><?xml version="1.0" encoding="utf-8"?>
<formControlPr xmlns="http://schemas.microsoft.com/office/spreadsheetml/2009/9/main" objectType="CheckBox" checked="Checked" noThreeD="1" val="0"/>
</file>

<file path=xl/ctrlProps/ctrlProp4.xml><?xml version="1.0" encoding="utf-8"?>
<formControlPr xmlns="http://schemas.microsoft.com/office/spreadsheetml/2009/9/main" objectType="CheckBox" noThreeD="1" val="0"/>
</file>

<file path=xl/ctrlProps/ctrlProp5.xml><?xml version="1.0" encoding="utf-8"?>
<formControlPr xmlns="http://schemas.microsoft.com/office/spreadsheetml/2009/9/main" objectType="CheckBox" noThreeD="1" val="0"/>
</file>

<file path=xl/ctrlProps/ctrlProp6.xml><?xml version="1.0" encoding="utf-8"?>
<formControlPr xmlns="http://schemas.microsoft.com/office/spreadsheetml/2009/9/main" objectType="CheckBox" noThreeD="1" val="0"/>
</file>

<file path=xl/ctrlProps/ctrlProp7.xml><?xml version="1.0" encoding="utf-8"?>
<formControlPr xmlns="http://schemas.microsoft.com/office/spreadsheetml/2009/9/main" objectType="CheckBox" noThreeD="1" val="0"/>
</file>

<file path=xl/ctrlProps/ctrlProp8.xml><?xml version="1.0" encoding="utf-8"?>
<formControlPr xmlns="http://schemas.microsoft.com/office/spreadsheetml/2009/9/main" objectType="CheckBox" checked="Checked" noThreeD="1" val="0"/>
</file>

<file path=xl/ctrlProps/ctrlProp9.xml><?xml version="1.0" encoding="utf-8"?>
<formControlPr xmlns="http://schemas.microsoft.com/office/spreadsheetml/2009/9/main" objectType="CheckBox" noThreeD="1" val="0"/>
</file>

<file path=xl/ctrlProps/ctrlProp10.xml><?xml version="1.0" encoding="utf-8"?>
<formControlPr xmlns="http://schemas.microsoft.com/office/spreadsheetml/2009/9/main" objectType="CheckBox" noThreeD="1" val="0"/>
</file>

<file path=xl/ctrlProps/ctrlProp11.xml><?xml version="1.0" encoding="utf-8"?>
<formControlPr xmlns="http://schemas.microsoft.com/office/spreadsheetml/2009/9/main" objectType="CheckBox" checked="Checked" noThreeD="1" val="0"/>
</file>

<file path=xl/ctrlProps/ctrlProp12.xml><?xml version="1.0" encoding="utf-8"?>
<formControlPr xmlns="http://schemas.microsoft.com/office/spreadsheetml/2009/9/main" objectType="CheckBox" noThreeD="1" val="0"/>
</file>

<file path=xl/ctrlProps/ctrlProp13.xml><?xml version="1.0" encoding="utf-8"?>
<formControlPr xmlns="http://schemas.microsoft.com/office/spreadsheetml/2009/9/main" objectType="CheckBox" noThreeD="1" val="0"/>
</file>

<file path=xl/ctrlProps/ctrlProp14.xml><?xml version="1.0" encoding="utf-8"?>
<formControlPr xmlns="http://schemas.microsoft.com/office/spreadsheetml/2009/9/main" objectType="CheckBox" noThreeD="1" val="0"/>
</file>

<file path=xl/ctrlProps/ctrlProp15.xml><?xml version="1.0" encoding="utf-8"?>
<formControlPr xmlns="http://schemas.microsoft.com/office/spreadsheetml/2009/9/main" objectType="CheckBox" checked="Checked" noThreeD="1" val="0"/>
</file>

<file path=xl/ctrlProps/ctrlProp16.xml><?xml version="1.0" encoding="utf-8"?>
<formControlPr xmlns="http://schemas.microsoft.com/office/spreadsheetml/2009/9/main" objectType="CheckBox" noThreeD="1" val="0"/>
</file>

<file path=xl/ctrlProps/ctrlProp17.xml><?xml version="1.0" encoding="utf-8"?>
<formControlPr xmlns="http://schemas.microsoft.com/office/spreadsheetml/2009/9/main" objectType="CheckBox" noThreeD="1" val="0"/>
</file>

<file path=xl/ctrlProps/ctrlProp18.xml><?xml version="1.0" encoding="utf-8"?>
<formControlPr xmlns="http://schemas.microsoft.com/office/spreadsheetml/2009/9/main" objectType="CheckBox" noThreeD="1" val="0"/>
</file>

<file path=xl/ctrlProps/ctrlProp19.xml><?xml version="1.0" encoding="utf-8"?>
<formControlPr xmlns="http://schemas.microsoft.com/office/spreadsheetml/2009/9/main" objectType="CheckBox" noThreeD="1" val="0"/>
</file>

<file path=xl/ctrlProps/ctrlProp20.xml><?xml version="1.0" encoding="utf-8"?>
<formControlPr xmlns="http://schemas.microsoft.com/office/spreadsheetml/2009/9/main" objectType="CheckBox" noThreeD="1" val="0"/>
</file>

<file path=xl/ctrlProps/ctrlProp21.xml><?xml version="1.0" encoding="utf-8"?>
<formControlPr xmlns="http://schemas.microsoft.com/office/spreadsheetml/2009/9/main" objectType="CheckBox" checked="Checked" noThreeD="1" val="0"/>
</file>

<file path=xl/ctrlProps/ctrlProp22.xml><?xml version="1.0" encoding="utf-8"?>
<formControlPr xmlns="http://schemas.microsoft.com/office/spreadsheetml/2009/9/main" objectType="CheckBox" noThreeD="1" val="0"/>
</file>

<file path=xl/ctrlProps/ctrlProp23.xml><?xml version="1.0" encoding="utf-8"?>
<formControlPr xmlns="http://schemas.microsoft.com/office/spreadsheetml/2009/9/main" objectType="CheckBox" noThreeD="1" val="0"/>
</file>

<file path=xl/ctrlProps/ctrlProp24.xml><?xml version="1.0" encoding="utf-8"?>
<formControlPr xmlns="http://schemas.microsoft.com/office/spreadsheetml/2009/9/main" objectType="CheckBox" noThreeD="1" val="0"/>
</file>

<file path=xl/ctrlProps/ctrlProp25.xml><?xml version="1.0" encoding="utf-8"?>
<formControlPr xmlns="http://schemas.microsoft.com/office/spreadsheetml/2009/9/main" objectType="CheckBox" noThreeD="1" val="0"/>
</file>

<file path=xl/ctrlProps/ctrlProp26.xml><?xml version="1.0" encoding="utf-8"?>
<formControlPr xmlns="http://schemas.microsoft.com/office/spreadsheetml/2009/9/main" objectType="CheckBox" noThreeD="1" val="0"/>
</file>

<file path=xl/ctrlProps/ctrlProp27.xml><?xml version="1.0" encoding="utf-8"?>
<formControlPr xmlns="http://schemas.microsoft.com/office/spreadsheetml/2009/9/main" objectType="CheckBox" noThreeD="1" val="0"/>
</file>

<file path=xl/ctrlProps/ctrlProp28.xml><?xml version="1.0" encoding="utf-8"?>
<formControlPr xmlns="http://schemas.microsoft.com/office/spreadsheetml/2009/9/main" objectType="CheckBox" noThreeD="1" val="0"/>
</file>

<file path=xl/ctrlProps/ctrlProp29.xml><?xml version="1.0" encoding="utf-8"?>
<formControlPr xmlns="http://schemas.microsoft.com/office/spreadsheetml/2009/9/main" objectType="CheckBox" noThreeD="1" val="0"/>
</file>

<file path=xl/ctrlProps/ctrlProp30.xml><?xml version="1.0" encoding="utf-8"?>
<formControlPr xmlns="http://schemas.microsoft.com/office/spreadsheetml/2009/9/main" objectType="CheckBox" noThreeD="1" val="0"/>
</file>

<file path=xl/ctrlProps/ctrlProp31.xml><?xml version="1.0" encoding="utf-8"?>
<formControlPr xmlns="http://schemas.microsoft.com/office/spreadsheetml/2009/9/main" objectType="CheckBox" noThreeD="1" val="0"/>
</file>

<file path=xl/ctrlProps/ctrlProp32.xml><?xml version="1.0" encoding="utf-8"?>
<formControlPr xmlns="http://schemas.microsoft.com/office/spreadsheetml/2009/9/main" objectType="CheckBox" noThreeD="1" val="0"/>
</file>

<file path=xl/ctrlProps/ctrlProp33.xml><?xml version="1.0" encoding="utf-8"?>
<formControlPr xmlns="http://schemas.microsoft.com/office/spreadsheetml/2009/9/main" objectType="CheckBox" noThreeD="1" val="0"/>
</file>

<file path=xl/ctrlProps/ctrlProp34.xml><?xml version="1.0" encoding="utf-8"?>
<formControlPr xmlns="http://schemas.microsoft.com/office/spreadsheetml/2009/9/main" objectType="CheckBox" noThreeD="1" val="0"/>
</file>

<file path=xl/ctrlProps/ctrlProp35.xml><?xml version="1.0" encoding="utf-8"?>
<formControlPr xmlns="http://schemas.microsoft.com/office/spreadsheetml/2009/9/main" objectType="CheckBox" noThreeD="1" val="0"/>
</file>

<file path=xl/ctrlProps/ctrlProp36.xml><?xml version="1.0" encoding="utf-8"?>
<formControlPr xmlns="http://schemas.microsoft.com/office/spreadsheetml/2009/9/main" objectType="CheckBox" noThreeD="1" val="0"/>
</file>

<file path=xl/ctrlProps/ctrlProp37.xml><?xml version="1.0" encoding="utf-8"?>
<formControlPr xmlns="http://schemas.microsoft.com/office/spreadsheetml/2009/9/main" objectType="CheckBox" noThreeD="1" val="0"/>
</file>

<file path=xl/ctrlProps/ctrlProp38.xml><?xml version="1.0" encoding="utf-8"?>
<formControlPr xmlns="http://schemas.microsoft.com/office/spreadsheetml/2009/9/main" objectType="CheckBox" checked="Checked" noThreeD="1" val="0"/>
</file>

<file path=xl/ctrlProps/ctrlProp39.xml><?xml version="1.0" encoding="utf-8"?>
<formControlPr xmlns="http://schemas.microsoft.com/office/spreadsheetml/2009/9/main" objectType="CheckBox" noThreeD="1" val="0"/>
</file>

<file path=xl/ctrlProps/ctrlProp40.xml><?xml version="1.0" encoding="utf-8"?>
<formControlPr xmlns="http://schemas.microsoft.com/office/spreadsheetml/2009/9/main" objectType="CheckBox" noThreeD="1" val="0"/>
</file>

<file path=xl/ctrlProps/ctrlProp41.xml><?xml version="1.0" encoding="utf-8"?>
<formControlPr xmlns="http://schemas.microsoft.com/office/spreadsheetml/2009/9/main" objectType="CheckBox" checked="Checked" noThreeD="1" val="0"/>
</file>

<file path=xl/ctrlProps/ctrlProp42.xml><?xml version="1.0" encoding="utf-8"?>
<formControlPr xmlns="http://schemas.microsoft.com/office/spreadsheetml/2009/9/main" objectType="CheckBox" noThreeD="1" val="0"/>
</file>

<file path=xl/ctrlProps/ctrlProp43.xml><?xml version="1.0" encoding="utf-8"?>
<formControlPr xmlns="http://schemas.microsoft.com/office/spreadsheetml/2009/9/main" objectType="CheckBox" checked="Checked" noThreeD="1" val="0"/>
</file>

<file path=xl/ctrlProps/ctrlProp44.xml><?xml version="1.0" encoding="utf-8"?>
<formControlPr xmlns="http://schemas.microsoft.com/office/spreadsheetml/2009/9/main" objectType="CheckBox" noThreeD="1" val="0"/>
</file>

<file path=xl/ctrlProps/ctrlProp45.xml><?xml version="1.0" encoding="utf-8"?>
<formControlPr xmlns="http://schemas.microsoft.com/office/spreadsheetml/2009/9/main" objectType="CheckBox" noThreeD="1" val="0"/>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389466</xdr:colOff>
      <xdr:row>43</xdr:row>
      <xdr:rowOff>152400</xdr:rowOff>
    </xdr:from>
    <xdr:to>
      <xdr:col>7</xdr:col>
      <xdr:colOff>732578</xdr:colOff>
      <xdr:row>54</xdr:row>
      <xdr:rowOff>317500</xdr:rowOff>
    </xdr:to>
    <xdr:graphicFrame>
      <xdr:nvGraphicFramePr>
        <xdr:cNvPr id="2" name="Chart 4"/>
        <xdr:cNvGraphicFramePr/>
      </xdr:nvGraphicFramePr>
      <xdr:xfrm>
        <a:off x="389255" y="14887575"/>
        <a:ext cx="9210675" cy="423037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50800</xdr:colOff>
      <xdr:row>53</xdr:row>
      <xdr:rowOff>203200</xdr:rowOff>
    </xdr:from>
    <xdr:to>
      <xdr:col>12</xdr:col>
      <xdr:colOff>609600</xdr:colOff>
      <xdr:row>58</xdr:row>
      <xdr:rowOff>330200</xdr:rowOff>
    </xdr:to>
    <xdr:sp>
      <xdr:nvSpPr>
        <xdr:cNvPr id="3" name="Text Box 5"/>
        <xdr:cNvSpPr txBox="1">
          <a:spLocks noChangeArrowheads="1"/>
        </xdr:cNvSpPr>
      </xdr:nvSpPr>
      <xdr:spPr>
        <a:xfrm>
          <a:off x="10185400" y="18634075"/>
          <a:ext cx="4625975" cy="1974850"/>
        </a:xfrm>
        <a:prstGeom prst="rect">
          <a:avLst/>
        </a:prstGeom>
        <a:solidFill>
          <a:srgbClr val="FFFFFF">
            <a:alpha val="0"/>
          </a:srgbClr>
        </a:solidFill>
        <a:ln w="9525">
          <a:noFill/>
          <a:miter lim="800000"/>
        </a:ln>
      </xdr:spPr>
      <xdr:txBody>
        <a:bodyPr vertOverflow="clip" wrap="square" lIns="36000" tIns="36000" rIns="36000" bIns="36000" anchor="t" upright="1"/>
        <a:lstStyle/>
        <a:p>
          <a:pPr algn="ctr" rtl="0">
            <a:defRPr sz="1000"/>
          </a:pPr>
          <a:endParaRPr lang="en-AU" sz="1600" b="0" i="0" strike="noStrike">
            <a:solidFill>
              <a:srgbClr val="0000FF"/>
            </a:solidFill>
            <a:latin typeface="Arial" panose="020B0604020202020204"/>
            <a:cs typeface="Arial" panose="020B0604020202020204"/>
          </a:endParaRPr>
        </a:p>
        <a:p>
          <a:pPr algn="ctr" rtl="0">
            <a:defRPr sz="1000"/>
          </a:pPr>
          <a:r>
            <a:rPr lang="en-AU" sz="1600" b="0" i="0" strike="noStrike">
              <a:solidFill>
                <a:srgbClr val="0000FF"/>
              </a:solidFill>
              <a:latin typeface="Arial" panose="020B0604020202020204"/>
              <a:cs typeface="Arial" panose="020B0604020202020204"/>
            </a:rPr>
            <a:t>This laboratory is accredited by the Papua New Guinea Laboratory Accreditation Scheme. The tests reported herein have been performed in accordance with its scope of accreditation and PNGLAS requirements which include the requirements of ISO/IEC 17025. This document shall not be reproduced, except in full.</a:t>
          </a:r>
          <a:endParaRPr lang="en-AU" sz="1600" b="0" i="0" strike="noStrike">
            <a:solidFill>
              <a:srgbClr val="000000"/>
            </a:solidFill>
            <a:latin typeface="Arial" panose="020B0604020202020204"/>
            <a:cs typeface="Arial" panose="020B0604020202020204"/>
          </a:endParaRPr>
        </a:p>
      </xdr:txBody>
    </xdr:sp>
    <xdr:clientData/>
  </xdr:twoCellAnchor>
  <xdr:twoCellAnchor>
    <xdr:from>
      <xdr:col>8</xdr:col>
      <xdr:colOff>326812</xdr:colOff>
      <xdr:row>52</xdr:row>
      <xdr:rowOff>72297</xdr:rowOff>
    </xdr:from>
    <xdr:to>
      <xdr:col>10</xdr:col>
      <xdr:colOff>406400</xdr:colOff>
      <xdr:row>54</xdr:row>
      <xdr:rowOff>20117</xdr:rowOff>
    </xdr:to>
    <xdr:pic>
      <xdr:nvPicPr>
        <xdr:cNvPr id="4" name="Picture 6" descr="PNGLAS cc bmp"/>
        <xdr:cNvPicPr>
          <a:picLocks noChangeAspect="1" noChangeArrowheads="1"/>
        </xdr:cNvPicPr>
      </xdr:nvPicPr>
      <xdr:blipFill>
        <a:blip r:embed="rId2" cstate="print"/>
        <a:srcRect/>
        <a:stretch>
          <a:fillRect/>
        </a:stretch>
      </xdr:blipFill>
      <xdr:spPr>
        <a:xfrm>
          <a:off x="10460990" y="18133060"/>
          <a:ext cx="2270760" cy="687070"/>
        </a:xfrm>
        <a:prstGeom prst="rect">
          <a:avLst/>
        </a:prstGeom>
        <a:noFill/>
        <a:ln w="9525">
          <a:noFill/>
          <a:miter lim="800000"/>
          <a:headEnd/>
          <a:tailEnd/>
        </a:ln>
      </xdr:spPr>
    </xdr:pic>
    <xdr:clientData/>
  </xdr:twoCellAnchor>
  <xdr:twoCellAnchor>
    <xdr:from>
      <xdr:col>10</xdr:col>
      <xdr:colOff>711200</xdr:colOff>
      <xdr:row>52</xdr:row>
      <xdr:rowOff>133882</xdr:rowOff>
    </xdr:from>
    <xdr:to>
      <xdr:col>12</xdr:col>
      <xdr:colOff>225214</xdr:colOff>
      <xdr:row>53</xdr:row>
      <xdr:rowOff>304800</xdr:rowOff>
    </xdr:to>
    <xdr:sp>
      <xdr:nvSpPr>
        <xdr:cNvPr id="5" name="TextBox 16"/>
        <xdr:cNvSpPr txBox="1"/>
      </xdr:nvSpPr>
      <xdr:spPr>
        <a:xfrm>
          <a:off x="13036550" y="18194655"/>
          <a:ext cx="1390015" cy="541020"/>
        </a:xfrm>
        <a:prstGeom prst="rect">
          <a:avLst/>
        </a:prstGeom>
        <a:solidFill>
          <a:schemeClr val="tx2">
            <a:lumMod val="40000"/>
            <a:lumOff val="60000"/>
          </a:schemeClr>
        </a:solidFill>
        <a:ln w="222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algn="ctr" defTabSz="914400" rtl="0" eaLnBrk="1" fontAlgn="auto" latinLnBrk="0" hangingPunct="1">
            <a:lnSpc>
              <a:spcPct val="100000"/>
            </a:lnSpc>
            <a:spcBef>
              <a:spcPts val="0"/>
            </a:spcBef>
            <a:spcAft>
              <a:spcPts val="0"/>
            </a:spcAft>
            <a:buClrTx/>
            <a:buSzTx/>
            <a:buFontTx/>
            <a:buNone/>
            <a:defRPr/>
          </a:pPr>
          <a:r>
            <a:rPr lang="en-AU" sz="1400">
              <a:solidFill>
                <a:schemeClr val="dk1"/>
              </a:solidFill>
              <a:latin typeface="+mn-lt"/>
              <a:ea typeface="+mn-ea"/>
              <a:cs typeface="+mn-cs"/>
            </a:rPr>
            <a:t>No :  </a:t>
          </a:r>
          <a:r>
            <a:rPr lang="en-AU" sz="2800">
              <a:solidFill>
                <a:schemeClr val="dk1"/>
              </a:solidFill>
              <a:latin typeface="+mn-lt"/>
              <a:ea typeface="+mn-ea"/>
              <a:cs typeface="+mn-cs"/>
            </a:rPr>
            <a:t>10</a:t>
          </a:r>
          <a:endParaRPr lang="en-AU" sz="2800">
            <a:solidFill>
              <a:schemeClr val="dk1"/>
            </a:solidFill>
            <a:latin typeface="+mn-lt"/>
            <a:ea typeface="+mn-ea"/>
            <a:cs typeface="+mn-cs"/>
          </a:endParaRPr>
        </a:p>
        <a:p>
          <a:endParaRPr lang="en-AU" sz="1100"/>
        </a:p>
      </xdr:txBody>
    </xdr:sp>
    <xdr:clientData/>
  </xdr:twoCellAnchor>
  <xdr:twoCellAnchor>
    <xdr:from>
      <xdr:col>3</xdr:col>
      <xdr:colOff>12700</xdr:colOff>
      <xdr:row>4</xdr:row>
      <xdr:rowOff>63501</xdr:rowOff>
    </xdr:from>
    <xdr:to>
      <xdr:col>3</xdr:col>
      <xdr:colOff>215900</xdr:colOff>
      <xdr:row>4</xdr:row>
      <xdr:rowOff>279400</xdr:rowOff>
    </xdr:to>
    <xdr:sp>
      <xdr:nvSpPr>
        <xdr:cNvPr id="17" name="TextBox 14"/>
        <xdr:cNvSpPr txBox="1"/>
      </xdr:nvSpPr>
      <xdr:spPr>
        <a:xfrm>
          <a:off x="4041775" y="1523365"/>
          <a:ext cx="203200" cy="21590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endParaRPr lang="en-AU">
            <a:latin typeface="Marlett" pitchFamily="2" charset="2"/>
          </a:endParaRPr>
        </a:p>
      </xdr:txBody>
    </xdr:sp>
    <xdr:clientData/>
  </xdr:twoCellAnchor>
  <xdr:twoCellAnchor>
    <xdr:from>
      <xdr:col>4</xdr:col>
      <xdr:colOff>444500</xdr:colOff>
      <xdr:row>4</xdr:row>
      <xdr:rowOff>25401</xdr:rowOff>
    </xdr:from>
    <xdr:to>
      <xdr:col>4</xdr:col>
      <xdr:colOff>647700</xdr:colOff>
      <xdr:row>4</xdr:row>
      <xdr:rowOff>241300</xdr:rowOff>
    </xdr:to>
    <xdr:sp>
      <xdr:nvSpPr>
        <xdr:cNvPr id="35" name="TextBox 14"/>
        <xdr:cNvSpPr txBox="1"/>
      </xdr:nvSpPr>
      <xdr:spPr>
        <a:xfrm>
          <a:off x="5759450" y="1485265"/>
          <a:ext cx="203200" cy="21590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endParaRPr lang="en-AU">
            <a:latin typeface="Marlett" pitchFamily="2" charset="2"/>
          </a:endParaRPr>
        </a:p>
      </xdr:txBody>
    </xdr:sp>
    <xdr:clientData/>
  </xdr:twoCellAnchor>
  <xdr:twoCellAnchor>
    <xdr:from>
      <xdr:col>6</xdr:col>
      <xdr:colOff>863600</xdr:colOff>
      <xdr:row>4</xdr:row>
      <xdr:rowOff>38101</xdr:rowOff>
    </xdr:from>
    <xdr:to>
      <xdr:col>6</xdr:col>
      <xdr:colOff>1066800</xdr:colOff>
      <xdr:row>4</xdr:row>
      <xdr:rowOff>254000</xdr:rowOff>
    </xdr:to>
    <xdr:sp>
      <xdr:nvSpPr>
        <xdr:cNvPr id="36" name="TextBox 14"/>
        <xdr:cNvSpPr txBox="1"/>
      </xdr:nvSpPr>
      <xdr:spPr>
        <a:xfrm>
          <a:off x="8426450" y="1497965"/>
          <a:ext cx="203200" cy="21590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endParaRPr lang="en-AU">
            <a:latin typeface="Marlett" pitchFamily="2" charset="2"/>
          </a:endParaRPr>
        </a:p>
      </xdr:txBody>
    </xdr:sp>
    <xdr:clientData/>
  </xdr:twoCellAnchor>
  <xdr:twoCellAnchor>
    <xdr:from>
      <xdr:col>0</xdr:col>
      <xdr:colOff>931333</xdr:colOff>
      <xdr:row>4</xdr:row>
      <xdr:rowOff>59267</xdr:rowOff>
    </xdr:from>
    <xdr:to>
      <xdr:col>0</xdr:col>
      <xdr:colOff>1134533</xdr:colOff>
      <xdr:row>4</xdr:row>
      <xdr:rowOff>275166</xdr:rowOff>
    </xdr:to>
    <xdr:sp>
      <xdr:nvSpPr>
        <xdr:cNvPr id="37" name="TextBox 14"/>
        <xdr:cNvSpPr txBox="1"/>
      </xdr:nvSpPr>
      <xdr:spPr>
        <a:xfrm>
          <a:off x="930910" y="1518920"/>
          <a:ext cx="203200" cy="21590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AU" sz="1800">
              <a:latin typeface="Marlett" pitchFamily="2" charset="2"/>
              <a:sym typeface="Marlett"/>
            </a:rPr>
            <a:t></a:t>
          </a:r>
          <a:endParaRPr lang="en-AU" sz="1800">
            <a:latin typeface="Marlett" pitchFamily="2" charset="2"/>
          </a:endParaRPr>
        </a:p>
      </xdr:txBody>
    </xdr:sp>
    <xdr:clientData/>
  </xdr:twoCellAnchor>
  <xdr:twoCellAnchor editAs="oneCell">
    <xdr:from>
      <xdr:col>0</xdr:col>
      <xdr:colOff>38100</xdr:colOff>
      <xdr:row>0</xdr:row>
      <xdr:rowOff>38100</xdr:rowOff>
    </xdr:from>
    <xdr:to>
      <xdr:col>1</xdr:col>
      <xdr:colOff>165101</xdr:colOff>
      <xdr:row>3</xdr:row>
      <xdr:rowOff>54429</xdr:rowOff>
    </xdr:to>
    <xdr:pic>
      <xdr:nvPicPr>
        <xdr:cNvPr id="11" name="Image 5" descr="PNG Logo"/>
        <xdr:cNvPicPr>
          <a:picLocks noChangeAspect="1" noChangeArrowheads="1"/>
        </xdr:cNvPicPr>
      </xdr:nvPicPr>
      <xdr:blipFill>
        <a:blip r:embed="rId3"/>
        <a:srcRect/>
        <a:stretch>
          <a:fillRect/>
        </a:stretch>
      </xdr:blipFill>
      <xdr:spPr>
        <a:xfrm>
          <a:off x="38100" y="38100"/>
          <a:ext cx="1489075" cy="127317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1257300</xdr:colOff>
          <xdr:row>26</xdr:row>
          <xdr:rowOff>66675</xdr:rowOff>
        </xdr:from>
        <xdr:to>
          <xdr:col>3</xdr:col>
          <xdr:colOff>238125</xdr:colOff>
          <xdr:row>27</xdr:row>
          <xdr:rowOff>28575</xdr:rowOff>
        </xdr:to>
        <xdr:sp>
          <xdr:nvSpPr>
            <xdr:cNvPr id="1025" name="Check Box 1" hidden="1">
              <a:extLst>
                <a:ext uri="{63B3BB69-23CF-44E3-9099-C40C66FF867C}">
                  <a14:compatExt spid="_x0000_s1025"/>
                </a:ext>
              </a:extLst>
            </xdr:cNvPr>
            <xdr:cNvSpPr/>
          </xdr:nvSpPr>
          <xdr:spPr>
            <a:xfrm>
              <a:off x="3886200" y="8519160"/>
              <a:ext cx="381000" cy="33147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333375</xdr:colOff>
          <xdr:row>27</xdr:row>
          <xdr:rowOff>38100</xdr:rowOff>
        </xdr:from>
        <xdr:to>
          <xdr:col>0</xdr:col>
          <xdr:colOff>723900</xdr:colOff>
          <xdr:row>28</xdr:row>
          <xdr:rowOff>66675</xdr:rowOff>
        </xdr:to>
        <xdr:sp>
          <xdr:nvSpPr>
            <xdr:cNvPr id="1027" name="Check Box 3" hidden="1">
              <a:extLst>
                <a:ext uri="{63B3BB69-23CF-44E3-9099-C40C66FF867C}">
                  <a14:compatExt spid="_x0000_s1027"/>
                </a:ext>
              </a:extLst>
            </xdr:cNvPr>
            <xdr:cNvSpPr/>
          </xdr:nvSpPr>
          <xdr:spPr>
            <a:xfrm>
              <a:off x="333375" y="8860155"/>
              <a:ext cx="390525" cy="39814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495300</xdr:colOff>
          <xdr:row>27</xdr:row>
          <xdr:rowOff>38100</xdr:rowOff>
        </xdr:from>
        <xdr:to>
          <xdr:col>2</xdr:col>
          <xdr:colOff>0</xdr:colOff>
          <xdr:row>28</xdr:row>
          <xdr:rowOff>38100</xdr:rowOff>
        </xdr:to>
        <xdr:sp>
          <xdr:nvSpPr>
            <xdr:cNvPr id="1028" name="Check Box 4" hidden="1">
              <a:extLst>
                <a:ext uri="{63B3BB69-23CF-44E3-9099-C40C66FF867C}">
                  <a14:compatExt spid="_x0000_s1028"/>
                </a:ext>
              </a:extLst>
            </xdr:cNvPr>
            <xdr:cNvSpPr/>
          </xdr:nvSpPr>
          <xdr:spPr>
            <a:xfrm>
              <a:off x="1857375" y="8860155"/>
              <a:ext cx="771525" cy="36957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676275</xdr:colOff>
          <xdr:row>27</xdr:row>
          <xdr:rowOff>104775</xdr:rowOff>
        </xdr:from>
        <xdr:to>
          <xdr:col>2</xdr:col>
          <xdr:colOff>904875</xdr:colOff>
          <xdr:row>27</xdr:row>
          <xdr:rowOff>314325</xdr:rowOff>
        </xdr:to>
        <xdr:sp>
          <xdr:nvSpPr>
            <xdr:cNvPr id="1029" name="Check Box 5" hidden="1">
              <a:extLst>
                <a:ext uri="{63B3BB69-23CF-44E3-9099-C40C66FF867C}">
                  <a14:compatExt spid="_x0000_s1029"/>
                </a:ext>
              </a:extLst>
            </xdr:cNvPr>
            <xdr:cNvSpPr/>
          </xdr:nvSpPr>
          <xdr:spPr>
            <a:xfrm>
              <a:off x="3305175" y="8926830"/>
              <a:ext cx="228600" cy="20955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32</xdr:row>
          <xdr:rowOff>28575</xdr:rowOff>
        </xdr:from>
        <xdr:to>
          <xdr:col>1</xdr:col>
          <xdr:colOff>704850</xdr:colOff>
          <xdr:row>33</xdr:row>
          <xdr:rowOff>19050</xdr:rowOff>
        </xdr:to>
        <xdr:sp>
          <xdr:nvSpPr>
            <xdr:cNvPr id="1030" name="Check Box 6" hidden="1">
              <a:extLst>
                <a:ext uri="{63B3BB69-23CF-44E3-9099-C40C66FF867C}">
                  <a14:compatExt spid="_x0000_s1030"/>
                </a:ext>
              </a:extLst>
            </xdr:cNvPr>
            <xdr:cNvSpPr/>
          </xdr:nvSpPr>
          <xdr:spPr>
            <a:xfrm>
              <a:off x="1628775" y="10698480"/>
              <a:ext cx="438150" cy="36004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866775</xdr:colOff>
          <xdr:row>28</xdr:row>
          <xdr:rowOff>47625</xdr:rowOff>
        </xdr:from>
        <xdr:to>
          <xdr:col>1</xdr:col>
          <xdr:colOff>0</xdr:colOff>
          <xdr:row>28</xdr:row>
          <xdr:rowOff>342900</xdr:rowOff>
        </xdr:to>
        <xdr:sp>
          <xdr:nvSpPr>
            <xdr:cNvPr id="1031" name="Check Box 7" hidden="1">
              <a:extLst>
                <a:ext uri="{63B3BB69-23CF-44E3-9099-C40C66FF867C}">
                  <a14:compatExt spid="_x0000_s1031"/>
                </a:ext>
              </a:extLst>
            </xdr:cNvPr>
            <xdr:cNvSpPr/>
          </xdr:nvSpPr>
          <xdr:spPr>
            <a:xfrm>
              <a:off x="866775" y="9239250"/>
              <a:ext cx="495300" cy="29527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31</xdr:row>
          <xdr:rowOff>209550</xdr:rowOff>
        </xdr:from>
        <xdr:to>
          <xdr:col>0</xdr:col>
          <xdr:colOff>552450</xdr:colOff>
          <xdr:row>33</xdr:row>
          <xdr:rowOff>57150</xdr:rowOff>
        </xdr:to>
        <xdr:sp>
          <xdr:nvSpPr>
            <xdr:cNvPr id="1032" name="Check Box 8" hidden="1">
              <a:extLst>
                <a:ext uri="{63B3BB69-23CF-44E3-9099-C40C66FF867C}">
                  <a14:compatExt spid="_x0000_s1032"/>
                </a:ext>
              </a:extLst>
            </xdr:cNvPr>
            <xdr:cNvSpPr/>
          </xdr:nvSpPr>
          <xdr:spPr>
            <a:xfrm>
              <a:off x="76200" y="10509885"/>
              <a:ext cx="476250" cy="58674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28</xdr:row>
          <xdr:rowOff>66675</xdr:rowOff>
        </xdr:from>
        <xdr:to>
          <xdr:col>2</xdr:col>
          <xdr:colOff>571500</xdr:colOff>
          <xdr:row>28</xdr:row>
          <xdr:rowOff>314325</xdr:rowOff>
        </xdr:to>
        <xdr:sp>
          <xdr:nvSpPr>
            <xdr:cNvPr id="1033" name="Check Box 9" hidden="1">
              <a:extLst>
                <a:ext uri="{63B3BB69-23CF-44E3-9099-C40C66FF867C}">
                  <a14:compatExt spid="_x0000_s1033"/>
                </a:ext>
              </a:extLst>
            </xdr:cNvPr>
            <xdr:cNvSpPr/>
          </xdr:nvSpPr>
          <xdr:spPr>
            <a:xfrm>
              <a:off x="2895600" y="9258300"/>
              <a:ext cx="304800" cy="24765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32</xdr:row>
          <xdr:rowOff>0</xdr:rowOff>
        </xdr:from>
        <xdr:to>
          <xdr:col>2</xdr:col>
          <xdr:colOff>876300</xdr:colOff>
          <xdr:row>33</xdr:row>
          <xdr:rowOff>19050</xdr:rowOff>
        </xdr:to>
        <xdr:sp>
          <xdr:nvSpPr>
            <xdr:cNvPr id="1034" name="Check Box 10" hidden="1">
              <a:extLst>
                <a:ext uri="{63B3BB69-23CF-44E3-9099-C40C66FF867C}">
                  <a14:compatExt spid="_x0000_s1034"/>
                </a:ext>
              </a:extLst>
            </xdr:cNvPr>
            <xdr:cNvSpPr/>
          </xdr:nvSpPr>
          <xdr:spPr>
            <a:xfrm>
              <a:off x="3181350" y="10669905"/>
              <a:ext cx="323850" cy="38862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561975</xdr:colOff>
          <xdr:row>22</xdr:row>
          <xdr:rowOff>28575</xdr:rowOff>
        </xdr:from>
        <xdr:to>
          <xdr:col>5</xdr:col>
          <xdr:colOff>314325</xdr:colOff>
          <xdr:row>23</xdr:row>
          <xdr:rowOff>9525</xdr:rowOff>
        </xdr:to>
        <xdr:sp>
          <xdr:nvSpPr>
            <xdr:cNvPr id="1035" name="Check Box 11" hidden="1">
              <a:extLst>
                <a:ext uri="{63B3BB69-23CF-44E3-9099-C40C66FF867C}">
                  <a14:compatExt spid="_x0000_s1035"/>
                </a:ext>
              </a:extLst>
            </xdr:cNvPr>
            <xdr:cNvSpPr/>
          </xdr:nvSpPr>
          <xdr:spPr>
            <a:xfrm>
              <a:off x="5876925" y="7002780"/>
              <a:ext cx="561975" cy="35052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371475</xdr:colOff>
          <xdr:row>22</xdr:row>
          <xdr:rowOff>47625</xdr:rowOff>
        </xdr:from>
        <xdr:to>
          <xdr:col>6</xdr:col>
          <xdr:colOff>676275</xdr:colOff>
          <xdr:row>23</xdr:row>
          <xdr:rowOff>28575</xdr:rowOff>
        </xdr:to>
        <xdr:sp>
          <xdr:nvSpPr>
            <xdr:cNvPr id="1036" name="Check Box 12" hidden="1">
              <a:extLst>
                <a:ext uri="{63B3BB69-23CF-44E3-9099-C40C66FF867C}">
                  <a14:compatExt spid="_x0000_s1036"/>
                </a:ext>
              </a:extLst>
            </xdr:cNvPr>
            <xdr:cNvSpPr/>
          </xdr:nvSpPr>
          <xdr:spPr>
            <a:xfrm>
              <a:off x="7934325" y="7021830"/>
              <a:ext cx="304800" cy="35052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1028700</xdr:colOff>
          <xdr:row>23</xdr:row>
          <xdr:rowOff>28575</xdr:rowOff>
        </xdr:from>
        <xdr:to>
          <xdr:col>6</xdr:col>
          <xdr:colOff>314325</xdr:colOff>
          <xdr:row>24</xdr:row>
          <xdr:rowOff>38100</xdr:rowOff>
        </xdr:to>
        <xdr:sp>
          <xdr:nvSpPr>
            <xdr:cNvPr id="1037" name="Check Box 13" hidden="1">
              <a:extLst>
                <a:ext uri="{63B3BB69-23CF-44E3-9099-C40C66FF867C}">
                  <a14:compatExt spid="_x0000_s1037"/>
                </a:ext>
              </a:extLst>
            </xdr:cNvPr>
            <xdr:cNvSpPr/>
          </xdr:nvSpPr>
          <xdr:spPr>
            <a:xfrm>
              <a:off x="7153275" y="7372350"/>
              <a:ext cx="723900" cy="37909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981075</xdr:colOff>
          <xdr:row>23</xdr:row>
          <xdr:rowOff>28575</xdr:rowOff>
        </xdr:from>
        <xdr:to>
          <xdr:col>7</xdr:col>
          <xdr:colOff>333375</xdr:colOff>
          <xdr:row>23</xdr:row>
          <xdr:rowOff>352425</xdr:rowOff>
        </xdr:to>
        <xdr:sp>
          <xdr:nvSpPr>
            <xdr:cNvPr id="1038" name="Check Box 14" hidden="1">
              <a:extLst>
                <a:ext uri="{63B3BB69-23CF-44E3-9099-C40C66FF867C}">
                  <a14:compatExt spid="_x0000_s1038"/>
                </a:ext>
              </a:extLst>
            </xdr:cNvPr>
            <xdr:cNvSpPr/>
          </xdr:nvSpPr>
          <xdr:spPr>
            <a:xfrm>
              <a:off x="8543925" y="7372350"/>
              <a:ext cx="657225" cy="32385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1076325</xdr:colOff>
          <xdr:row>25</xdr:row>
          <xdr:rowOff>352425</xdr:rowOff>
        </xdr:from>
        <xdr:to>
          <xdr:col>2</xdr:col>
          <xdr:colOff>457200</xdr:colOff>
          <xdr:row>27</xdr:row>
          <xdr:rowOff>9525</xdr:rowOff>
        </xdr:to>
        <xdr:sp>
          <xdr:nvSpPr>
            <xdr:cNvPr id="1094" name="Check Box 70" hidden="1">
              <a:extLst>
                <a:ext uri="{63B3BB69-23CF-44E3-9099-C40C66FF867C}">
                  <a14:compatExt spid="_x0000_s1094"/>
                </a:ext>
              </a:extLst>
            </xdr:cNvPr>
            <xdr:cNvSpPr/>
          </xdr:nvSpPr>
          <xdr:spPr>
            <a:xfrm>
              <a:off x="2438400" y="8435340"/>
              <a:ext cx="647700" cy="39624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190500</xdr:colOff>
          <xdr:row>26</xdr:row>
          <xdr:rowOff>66675</xdr:rowOff>
        </xdr:from>
        <xdr:to>
          <xdr:col>0</xdr:col>
          <xdr:colOff>523875</xdr:colOff>
          <xdr:row>27</xdr:row>
          <xdr:rowOff>0</xdr:rowOff>
        </xdr:to>
        <xdr:sp>
          <xdr:nvSpPr>
            <xdr:cNvPr id="1095" name="Check Box 71" hidden="1">
              <a:extLst>
                <a:ext uri="{63B3BB69-23CF-44E3-9099-C40C66FF867C}">
                  <a14:compatExt spid="_x0000_s1095"/>
                </a:ext>
              </a:extLst>
            </xdr:cNvPr>
            <xdr:cNvSpPr/>
          </xdr:nvSpPr>
          <xdr:spPr>
            <a:xfrm>
              <a:off x="190500" y="8519160"/>
              <a:ext cx="333375" cy="30289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13</xdr:row>
          <xdr:rowOff>266700</xdr:rowOff>
        </xdr:from>
        <xdr:to>
          <xdr:col>0</xdr:col>
          <xdr:colOff>447675</xdr:colOff>
          <xdr:row>15</xdr:row>
          <xdr:rowOff>38100</xdr:rowOff>
        </xdr:to>
        <xdr:sp>
          <xdr:nvSpPr>
            <xdr:cNvPr id="1039" name="Check Box 15" hidden="1">
              <a:extLst>
                <a:ext uri="{63B3BB69-23CF-44E3-9099-C40C66FF867C}">
                  <a14:compatExt spid="_x0000_s1039"/>
                </a:ext>
              </a:extLst>
            </xdr:cNvPr>
            <xdr:cNvSpPr/>
          </xdr:nvSpPr>
          <xdr:spPr>
            <a:xfrm>
              <a:off x="114300" y="4519930"/>
              <a:ext cx="333375" cy="35496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1219200</xdr:colOff>
          <xdr:row>13</xdr:row>
          <xdr:rowOff>266700</xdr:rowOff>
        </xdr:from>
        <xdr:to>
          <xdr:col>2</xdr:col>
          <xdr:colOff>333375</xdr:colOff>
          <xdr:row>15</xdr:row>
          <xdr:rowOff>38100</xdr:rowOff>
        </xdr:to>
        <xdr:sp>
          <xdr:nvSpPr>
            <xdr:cNvPr id="1041" name="Check Box 17" hidden="1">
              <a:extLst>
                <a:ext uri="{63B3BB69-23CF-44E3-9099-C40C66FF867C}">
                  <a14:compatExt spid="_x0000_s1041"/>
                </a:ext>
              </a:extLst>
            </xdr:cNvPr>
            <xdr:cNvSpPr/>
          </xdr:nvSpPr>
          <xdr:spPr>
            <a:xfrm>
              <a:off x="2581275" y="4519930"/>
              <a:ext cx="381000" cy="35496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14</xdr:row>
          <xdr:rowOff>0</xdr:rowOff>
        </xdr:from>
        <xdr:to>
          <xdr:col>4</xdr:col>
          <xdr:colOff>371475</xdr:colOff>
          <xdr:row>15</xdr:row>
          <xdr:rowOff>47625</xdr:rowOff>
        </xdr:to>
        <xdr:sp>
          <xdr:nvSpPr>
            <xdr:cNvPr id="1042" name="Check Box 18" hidden="1">
              <a:extLst>
                <a:ext uri="{63B3BB69-23CF-44E3-9099-C40C66FF867C}">
                  <a14:compatExt spid="_x0000_s1042"/>
                </a:ext>
              </a:extLst>
            </xdr:cNvPr>
            <xdr:cNvSpPr/>
          </xdr:nvSpPr>
          <xdr:spPr>
            <a:xfrm>
              <a:off x="5353050" y="4531995"/>
              <a:ext cx="333375" cy="35242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14</xdr:row>
          <xdr:rowOff>219075</xdr:rowOff>
        </xdr:from>
        <xdr:to>
          <xdr:col>4</xdr:col>
          <xdr:colOff>342900</xdr:colOff>
          <xdr:row>16</xdr:row>
          <xdr:rowOff>38100</xdr:rowOff>
        </xdr:to>
        <xdr:sp>
          <xdr:nvSpPr>
            <xdr:cNvPr id="1043" name="Check Box 19" hidden="1">
              <a:extLst>
                <a:ext uri="{63B3BB69-23CF-44E3-9099-C40C66FF867C}">
                  <a14:compatExt spid="_x0000_s1043"/>
                </a:ext>
              </a:extLst>
            </xdr:cNvPr>
            <xdr:cNvSpPr/>
          </xdr:nvSpPr>
          <xdr:spPr>
            <a:xfrm>
              <a:off x="5334000" y="4751070"/>
              <a:ext cx="323850" cy="42862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15</xdr:row>
          <xdr:rowOff>190500</xdr:rowOff>
        </xdr:from>
        <xdr:to>
          <xdr:col>4</xdr:col>
          <xdr:colOff>409575</xdr:colOff>
          <xdr:row>17</xdr:row>
          <xdr:rowOff>38100</xdr:rowOff>
        </xdr:to>
        <xdr:sp>
          <xdr:nvSpPr>
            <xdr:cNvPr id="1044" name="Check Box 20" hidden="1">
              <a:extLst>
                <a:ext uri="{63B3BB69-23CF-44E3-9099-C40C66FF867C}">
                  <a14:compatExt spid="_x0000_s1044"/>
                </a:ext>
              </a:extLst>
            </xdr:cNvPr>
            <xdr:cNvSpPr/>
          </xdr:nvSpPr>
          <xdr:spPr>
            <a:xfrm>
              <a:off x="5353050" y="5027295"/>
              <a:ext cx="371475" cy="45720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16</xdr:row>
          <xdr:rowOff>219075</xdr:rowOff>
        </xdr:from>
        <xdr:to>
          <xdr:col>4</xdr:col>
          <xdr:colOff>342900</xdr:colOff>
          <xdr:row>18</xdr:row>
          <xdr:rowOff>38100</xdr:rowOff>
        </xdr:to>
        <xdr:sp>
          <xdr:nvSpPr>
            <xdr:cNvPr id="1045" name="Check Box 21" hidden="1">
              <a:extLst>
                <a:ext uri="{63B3BB69-23CF-44E3-9099-C40C66FF867C}">
                  <a14:compatExt spid="_x0000_s1045"/>
                </a:ext>
              </a:extLst>
            </xdr:cNvPr>
            <xdr:cNvSpPr/>
          </xdr:nvSpPr>
          <xdr:spPr>
            <a:xfrm>
              <a:off x="5334000" y="5360670"/>
              <a:ext cx="323850" cy="42862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1104900</xdr:colOff>
          <xdr:row>14</xdr:row>
          <xdr:rowOff>28575</xdr:rowOff>
        </xdr:from>
        <xdr:to>
          <xdr:col>7</xdr:col>
          <xdr:colOff>123825</xdr:colOff>
          <xdr:row>15</xdr:row>
          <xdr:rowOff>76200</xdr:rowOff>
        </xdr:to>
        <xdr:sp>
          <xdr:nvSpPr>
            <xdr:cNvPr id="1046" name="Check Box 22" hidden="1">
              <a:extLst>
                <a:ext uri="{63B3BB69-23CF-44E3-9099-C40C66FF867C}">
                  <a14:compatExt spid="_x0000_s1046"/>
                </a:ext>
              </a:extLst>
            </xdr:cNvPr>
            <xdr:cNvSpPr/>
          </xdr:nvSpPr>
          <xdr:spPr>
            <a:xfrm>
              <a:off x="8667750" y="4560570"/>
              <a:ext cx="323850" cy="35242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571500</xdr:colOff>
          <xdr:row>14</xdr:row>
          <xdr:rowOff>28575</xdr:rowOff>
        </xdr:from>
        <xdr:to>
          <xdr:col>7</xdr:col>
          <xdr:colOff>828675</xdr:colOff>
          <xdr:row>15</xdr:row>
          <xdr:rowOff>38100</xdr:rowOff>
        </xdr:to>
        <xdr:sp>
          <xdr:nvSpPr>
            <xdr:cNvPr id="1047" name="Check Box 23" hidden="1">
              <a:extLst>
                <a:ext uri="{63B3BB69-23CF-44E3-9099-C40C66FF867C}">
                  <a14:compatExt spid="_x0000_s1047"/>
                </a:ext>
              </a:extLst>
            </xdr:cNvPr>
            <xdr:cNvSpPr/>
          </xdr:nvSpPr>
          <xdr:spPr>
            <a:xfrm>
              <a:off x="9439275" y="4560570"/>
              <a:ext cx="257175" cy="31432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14</xdr:row>
          <xdr:rowOff>28575</xdr:rowOff>
        </xdr:from>
        <xdr:to>
          <xdr:col>8</xdr:col>
          <xdr:colOff>485775</xdr:colOff>
          <xdr:row>15</xdr:row>
          <xdr:rowOff>38100</xdr:rowOff>
        </xdr:to>
        <xdr:sp>
          <xdr:nvSpPr>
            <xdr:cNvPr id="1048" name="Check Box 24" hidden="1">
              <a:extLst>
                <a:ext uri="{63B3BB69-23CF-44E3-9099-C40C66FF867C}">
                  <a14:compatExt spid="_x0000_s1048"/>
                </a:ext>
              </a:extLst>
            </xdr:cNvPr>
            <xdr:cNvSpPr/>
          </xdr:nvSpPr>
          <xdr:spPr>
            <a:xfrm>
              <a:off x="10315575" y="4560570"/>
              <a:ext cx="304800" cy="31432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809625</xdr:colOff>
          <xdr:row>15</xdr:row>
          <xdr:rowOff>38100</xdr:rowOff>
        </xdr:from>
        <xdr:to>
          <xdr:col>6</xdr:col>
          <xdr:colOff>1114425</xdr:colOff>
          <xdr:row>16</xdr:row>
          <xdr:rowOff>47625</xdr:rowOff>
        </xdr:to>
        <xdr:sp>
          <xdr:nvSpPr>
            <xdr:cNvPr id="1049" name="Check Box 25" hidden="1">
              <a:extLst>
                <a:ext uri="{63B3BB69-23CF-44E3-9099-C40C66FF867C}">
                  <a14:compatExt spid="_x0000_s1049"/>
                </a:ext>
              </a:extLst>
            </xdr:cNvPr>
            <xdr:cNvSpPr/>
          </xdr:nvSpPr>
          <xdr:spPr>
            <a:xfrm>
              <a:off x="8372475" y="4874895"/>
              <a:ext cx="304800" cy="31432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266700</xdr:colOff>
          <xdr:row>15</xdr:row>
          <xdr:rowOff>28575</xdr:rowOff>
        </xdr:from>
        <xdr:to>
          <xdr:col>7</xdr:col>
          <xdr:colOff>504825</xdr:colOff>
          <xdr:row>16</xdr:row>
          <xdr:rowOff>38100</xdr:rowOff>
        </xdr:to>
        <xdr:sp>
          <xdr:nvSpPr>
            <xdr:cNvPr id="1050" name="Check Box 26" hidden="1">
              <a:extLst>
                <a:ext uri="{63B3BB69-23CF-44E3-9099-C40C66FF867C}">
                  <a14:compatExt spid="_x0000_s1050"/>
                </a:ext>
              </a:extLst>
            </xdr:cNvPr>
            <xdr:cNvSpPr/>
          </xdr:nvSpPr>
          <xdr:spPr>
            <a:xfrm>
              <a:off x="9134475" y="4865370"/>
              <a:ext cx="238125" cy="31432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981075</xdr:colOff>
          <xdr:row>15</xdr:row>
          <xdr:rowOff>28575</xdr:rowOff>
        </xdr:from>
        <xdr:to>
          <xdr:col>8</xdr:col>
          <xdr:colOff>66675</xdr:colOff>
          <xdr:row>16</xdr:row>
          <xdr:rowOff>66675</xdr:rowOff>
        </xdr:to>
        <xdr:sp>
          <xdr:nvSpPr>
            <xdr:cNvPr id="1051" name="Check Box 27" hidden="1">
              <a:extLst>
                <a:ext uri="{63B3BB69-23CF-44E3-9099-C40C66FF867C}">
                  <a14:compatExt spid="_x0000_s1051"/>
                </a:ext>
              </a:extLst>
            </xdr:cNvPr>
            <xdr:cNvSpPr/>
          </xdr:nvSpPr>
          <xdr:spPr>
            <a:xfrm>
              <a:off x="9848850" y="4865370"/>
              <a:ext cx="352425" cy="34290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333375</xdr:colOff>
          <xdr:row>15</xdr:row>
          <xdr:rowOff>28575</xdr:rowOff>
        </xdr:from>
        <xdr:to>
          <xdr:col>8</xdr:col>
          <xdr:colOff>600075</xdr:colOff>
          <xdr:row>16</xdr:row>
          <xdr:rowOff>66675</xdr:rowOff>
        </xdr:to>
        <xdr:sp>
          <xdr:nvSpPr>
            <xdr:cNvPr id="1052" name="Check Box 28" hidden="1">
              <a:extLst>
                <a:ext uri="{63B3BB69-23CF-44E3-9099-C40C66FF867C}">
                  <a14:compatExt spid="_x0000_s1052"/>
                </a:ext>
              </a:extLst>
            </xdr:cNvPr>
            <xdr:cNvSpPr/>
          </xdr:nvSpPr>
          <xdr:spPr>
            <a:xfrm>
              <a:off x="10467975" y="4865370"/>
              <a:ext cx="266700" cy="34290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952500</xdr:colOff>
          <xdr:row>15</xdr:row>
          <xdr:rowOff>28575</xdr:rowOff>
        </xdr:from>
        <xdr:to>
          <xdr:col>9</xdr:col>
          <xdr:colOff>209550</xdr:colOff>
          <xdr:row>16</xdr:row>
          <xdr:rowOff>66675</xdr:rowOff>
        </xdr:to>
        <xdr:sp>
          <xdr:nvSpPr>
            <xdr:cNvPr id="1053" name="Check Box 29" hidden="1">
              <a:extLst>
                <a:ext uri="{63B3BB69-23CF-44E3-9099-C40C66FF867C}">
                  <a14:compatExt spid="_x0000_s1053"/>
                </a:ext>
              </a:extLst>
            </xdr:cNvPr>
            <xdr:cNvSpPr/>
          </xdr:nvSpPr>
          <xdr:spPr>
            <a:xfrm>
              <a:off x="11087100" y="4865370"/>
              <a:ext cx="314325" cy="34290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104775</xdr:colOff>
          <xdr:row>14</xdr:row>
          <xdr:rowOff>276225</xdr:rowOff>
        </xdr:from>
        <xdr:to>
          <xdr:col>0</xdr:col>
          <xdr:colOff>428625</xdr:colOff>
          <xdr:row>16</xdr:row>
          <xdr:rowOff>104775</xdr:rowOff>
        </xdr:to>
        <xdr:sp>
          <xdr:nvSpPr>
            <xdr:cNvPr id="1054" name="Check Box 30" hidden="1">
              <a:extLst>
                <a:ext uri="{63B3BB69-23CF-44E3-9099-C40C66FF867C}">
                  <a14:compatExt spid="_x0000_s1054"/>
                </a:ext>
              </a:extLst>
            </xdr:cNvPr>
            <xdr:cNvSpPr/>
          </xdr:nvSpPr>
          <xdr:spPr>
            <a:xfrm>
              <a:off x="104775" y="4808220"/>
              <a:ext cx="323850" cy="43815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104775</xdr:colOff>
          <xdr:row>15</xdr:row>
          <xdr:rowOff>295275</xdr:rowOff>
        </xdr:from>
        <xdr:to>
          <xdr:col>0</xdr:col>
          <xdr:colOff>428625</xdr:colOff>
          <xdr:row>17</xdr:row>
          <xdr:rowOff>114300</xdr:rowOff>
        </xdr:to>
        <xdr:sp>
          <xdr:nvSpPr>
            <xdr:cNvPr id="1057" name="Check Box 33" hidden="1">
              <a:extLst>
                <a:ext uri="{63B3BB69-23CF-44E3-9099-C40C66FF867C}">
                  <a14:compatExt spid="_x0000_s1057"/>
                </a:ext>
              </a:extLst>
            </xdr:cNvPr>
            <xdr:cNvSpPr/>
          </xdr:nvSpPr>
          <xdr:spPr>
            <a:xfrm>
              <a:off x="104775" y="5132070"/>
              <a:ext cx="323850" cy="42862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1219200</xdr:colOff>
          <xdr:row>14</xdr:row>
          <xdr:rowOff>266700</xdr:rowOff>
        </xdr:from>
        <xdr:to>
          <xdr:col>2</xdr:col>
          <xdr:colOff>276225</xdr:colOff>
          <xdr:row>16</xdr:row>
          <xdr:rowOff>85725</xdr:rowOff>
        </xdr:to>
        <xdr:sp>
          <xdr:nvSpPr>
            <xdr:cNvPr id="1062" name="Check Box 38" hidden="1">
              <a:extLst>
                <a:ext uri="{63B3BB69-23CF-44E3-9099-C40C66FF867C}">
                  <a14:compatExt spid="_x0000_s1062"/>
                </a:ext>
              </a:extLst>
            </xdr:cNvPr>
            <xdr:cNvSpPr/>
          </xdr:nvSpPr>
          <xdr:spPr>
            <a:xfrm>
              <a:off x="2581275" y="4798695"/>
              <a:ext cx="323850" cy="42862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266700</xdr:rowOff>
        </xdr:from>
        <xdr:to>
          <xdr:col>0</xdr:col>
          <xdr:colOff>409575</xdr:colOff>
          <xdr:row>18</xdr:row>
          <xdr:rowOff>104775</xdr:rowOff>
        </xdr:to>
        <xdr:sp>
          <xdr:nvSpPr>
            <xdr:cNvPr id="1064" name="Check Box 40" hidden="1">
              <a:extLst>
                <a:ext uri="{63B3BB69-23CF-44E3-9099-C40C66FF867C}">
                  <a14:compatExt spid="_x0000_s1064"/>
                </a:ext>
              </a:extLst>
            </xdr:cNvPr>
            <xdr:cNvSpPr/>
          </xdr:nvSpPr>
          <xdr:spPr>
            <a:xfrm>
              <a:off x="85725" y="5408295"/>
              <a:ext cx="323850" cy="44767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15</xdr:row>
          <xdr:rowOff>19050</xdr:rowOff>
        </xdr:from>
        <xdr:to>
          <xdr:col>10</xdr:col>
          <xdr:colOff>314325</xdr:colOff>
          <xdr:row>16</xdr:row>
          <xdr:rowOff>28575</xdr:rowOff>
        </xdr:to>
        <xdr:sp>
          <xdr:nvSpPr>
            <xdr:cNvPr id="1076" name="Check Box 52" hidden="1">
              <a:extLst>
                <a:ext uri="{63B3BB69-23CF-44E3-9099-C40C66FF867C}">
                  <a14:compatExt spid="_x0000_s1076"/>
                </a:ext>
              </a:extLst>
            </xdr:cNvPr>
            <xdr:cNvSpPr/>
          </xdr:nvSpPr>
          <xdr:spPr>
            <a:xfrm>
              <a:off x="12344400" y="4855845"/>
              <a:ext cx="295275" cy="31432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1209675</xdr:colOff>
          <xdr:row>15</xdr:row>
          <xdr:rowOff>257175</xdr:rowOff>
        </xdr:from>
        <xdr:to>
          <xdr:col>2</xdr:col>
          <xdr:colOff>266700</xdr:colOff>
          <xdr:row>17</xdr:row>
          <xdr:rowOff>76200</xdr:rowOff>
        </xdr:to>
        <xdr:sp>
          <xdr:nvSpPr>
            <xdr:cNvPr id="1087" name="Check Box 63" hidden="1">
              <a:extLst>
                <a:ext uri="{63B3BB69-23CF-44E3-9099-C40C66FF867C}">
                  <a14:compatExt spid="_x0000_s1087"/>
                </a:ext>
              </a:extLst>
            </xdr:cNvPr>
            <xdr:cNvSpPr/>
          </xdr:nvSpPr>
          <xdr:spPr>
            <a:xfrm>
              <a:off x="2571750" y="5093970"/>
              <a:ext cx="323850" cy="42862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561975</xdr:colOff>
          <xdr:row>16</xdr:row>
          <xdr:rowOff>257175</xdr:rowOff>
        </xdr:from>
        <xdr:to>
          <xdr:col>1</xdr:col>
          <xdr:colOff>885825</xdr:colOff>
          <xdr:row>18</xdr:row>
          <xdr:rowOff>76200</xdr:rowOff>
        </xdr:to>
        <xdr:sp>
          <xdr:nvSpPr>
            <xdr:cNvPr id="1088" name="Check Box 64" hidden="1">
              <a:extLst>
                <a:ext uri="{63B3BB69-23CF-44E3-9099-C40C66FF867C}">
                  <a14:compatExt spid="_x0000_s1088"/>
                </a:ext>
              </a:extLst>
            </xdr:cNvPr>
            <xdr:cNvSpPr/>
          </xdr:nvSpPr>
          <xdr:spPr>
            <a:xfrm>
              <a:off x="1924050" y="5398770"/>
              <a:ext cx="323850" cy="42862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581025</xdr:colOff>
          <xdr:row>15</xdr:row>
          <xdr:rowOff>38100</xdr:rowOff>
        </xdr:from>
        <xdr:to>
          <xdr:col>10</xdr:col>
          <xdr:colOff>876300</xdr:colOff>
          <xdr:row>16</xdr:row>
          <xdr:rowOff>66675</xdr:rowOff>
        </xdr:to>
        <xdr:sp>
          <xdr:nvSpPr>
            <xdr:cNvPr id="1089" name="Check Box 65" hidden="1">
              <a:extLst>
                <a:ext uri="{63B3BB69-23CF-44E3-9099-C40C66FF867C}">
                  <a14:compatExt spid="_x0000_s1089"/>
                </a:ext>
              </a:extLst>
            </xdr:cNvPr>
            <xdr:cNvSpPr/>
          </xdr:nvSpPr>
          <xdr:spPr>
            <a:xfrm>
              <a:off x="12906375" y="4874895"/>
              <a:ext cx="295275" cy="33337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1133475</xdr:colOff>
          <xdr:row>15</xdr:row>
          <xdr:rowOff>38100</xdr:rowOff>
        </xdr:from>
        <xdr:to>
          <xdr:col>11</xdr:col>
          <xdr:colOff>304800</xdr:colOff>
          <xdr:row>16</xdr:row>
          <xdr:rowOff>76200</xdr:rowOff>
        </xdr:to>
        <xdr:sp>
          <xdr:nvSpPr>
            <xdr:cNvPr id="1090" name="Check Box 66" hidden="1">
              <a:extLst>
                <a:ext uri="{63B3BB69-23CF-44E3-9099-C40C66FF867C}">
                  <a14:compatExt spid="_x0000_s1090"/>
                </a:ext>
              </a:extLst>
            </xdr:cNvPr>
            <xdr:cNvSpPr/>
          </xdr:nvSpPr>
          <xdr:spPr>
            <a:xfrm>
              <a:off x="13458825" y="4874895"/>
              <a:ext cx="304800" cy="34290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419100</xdr:colOff>
          <xdr:row>15</xdr:row>
          <xdr:rowOff>38100</xdr:rowOff>
        </xdr:from>
        <xdr:to>
          <xdr:col>11</xdr:col>
          <xdr:colOff>676275</xdr:colOff>
          <xdr:row>16</xdr:row>
          <xdr:rowOff>38100</xdr:rowOff>
        </xdr:to>
        <xdr:sp>
          <xdr:nvSpPr>
            <xdr:cNvPr id="1091" name="Check Box 67" hidden="1">
              <a:extLst>
                <a:ext uri="{63B3BB69-23CF-44E3-9099-C40C66FF867C}">
                  <a14:compatExt spid="_x0000_s1091"/>
                </a:ext>
              </a:extLst>
            </xdr:cNvPr>
            <xdr:cNvSpPr/>
          </xdr:nvSpPr>
          <xdr:spPr>
            <a:xfrm>
              <a:off x="13877925" y="4874895"/>
              <a:ext cx="257175" cy="30480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333375</xdr:colOff>
          <xdr:row>15</xdr:row>
          <xdr:rowOff>28575</xdr:rowOff>
        </xdr:from>
        <xdr:to>
          <xdr:col>12</xdr:col>
          <xdr:colOff>561975</xdr:colOff>
          <xdr:row>16</xdr:row>
          <xdr:rowOff>28575</xdr:rowOff>
        </xdr:to>
        <xdr:sp>
          <xdr:nvSpPr>
            <xdr:cNvPr id="1092" name="Check Box 68" hidden="1">
              <a:extLst>
                <a:ext uri="{63B3BB69-23CF-44E3-9099-C40C66FF867C}">
                  <a14:compatExt spid="_x0000_s1092"/>
                </a:ext>
              </a:extLst>
            </xdr:cNvPr>
            <xdr:cNvSpPr/>
          </xdr:nvSpPr>
          <xdr:spPr>
            <a:xfrm>
              <a:off x="14535150" y="4865370"/>
              <a:ext cx="228600" cy="30480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485775</xdr:colOff>
          <xdr:row>30</xdr:row>
          <xdr:rowOff>0</xdr:rowOff>
        </xdr:from>
        <xdr:to>
          <xdr:col>9</xdr:col>
          <xdr:colOff>0</xdr:colOff>
          <xdr:row>31</xdr:row>
          <xdr:rowOff>9525</xdr:rowOff>
        </xdr:to>
        <xdr:sp>
          <xdr:nvSpPr>
            <xdr:cNvPr id="1097" name="Check Box 73" hidden="1">
              <a:extLst>
                <a:ext uri="{63B3BB69-23CF-44E3-9099-C40C66FF867C}">
                  <a14:compatExt spid="_x0000_s1097"/>
                </a:ext>
              </a:extLst>
            </xdr:cNvPr>
            <xdr:cNvSpPr/>
          </xdr:nvSpPr>
          <xdr:spPr>
            <a:xfrm>
              <a:off x="10620375" y="9930765"/>
              <a:ext cx="571500" cy="37909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657225</xdr:colOff>
          <xdr:row>30</xdr:row>
          <xdr:rowOff>0</xdr:rowOff>
        </xdr:from>
        <xdr:to>
          <xdr:col>11</xdr:col>
          <xdr:colOff>152400</xdr:colOff>
          <xdr:row>31</xdr:row>
          <xdr:rowOff>9525</xdr:rowOff>
        </xdr:to>
        <xdr:sp>
          <xdr:nvSpPr>
            <xdr:cNvPr id="1099" name="Check Box 75" hidden="1">
              <a:extLst>
                <a:ext uri="{63B3BB69-23CF-44E3-9099-C40C66FF867C}">
                  <a14:compatExt spid="_x0000_s1099"/>
                </a:ext>
              </a:extLst>
            </xdr:cNvPr>
            <xdr:cNvSpPr/>
          </xdr:nvSpPr>
          <xdr:spPr>
            <a:xfrm>
              <a:off x="12982575" y="9930765"/>
              <a:ext cx="628650" cy="37909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981075</xdr:colOff>
          <xdr:row>23</xdr:row>
          <xdr:rowOff>28575</xdr:rowOff>
        </xdr:from>
        <xdr:to>
          <xdr:col>8</xdr:col>
          <xdr:colOff>371475</xdr:colOff>
          <xdr:row>23</xdr:row>
          <xdr:rowOff>352425</xdr:rowOff>
        </xdr:to>
        <xdr:sp>
          <xdr:nvSpPr>
            <xdr:cNvPr id="1100" name="Check Box 76" hidden="1">
              <a:extLst>
                <a:ext uri="{63B3BB69-23CF-44E3-9099-C40C66FF867C}">
                  <a14:compatExt spid="_x0000_s1100"/>
                </a:ext>
              </a:extLst>
            </xdr:cNvPr>
            <xdr:cNvSpPr/>
          </xdr:nvSpPr>
          <xdr:spPr>
            <a:xfrm>
              <a:off x="9848850" y="7372350"/>
              <a:ext cx="657225" cy="32385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14</xdr:row>
          <xdr:rowOff>28575</xdr:rowOff>
        </xdr:from>
        <xdr:to>
          <xdr:col>9</xdr:col>
          <xdr:colOff>485775</xdr:colOff>
          <xdr:row>15</xdr:row>
          <xdr:rowOff>38100</xdr:rowOff>
        </xdr:to>
        <xdr:sp>
          <xdr:nvSpPr>
            <xdr:cNvPr id="1101" name="Check Box 77" hidden="1">
              <a:extLst>
                <a:ext uri="{63B3BB69-23CF-44E3-9099-C40C66FF867C}">
                  <a14:compatExt spid="_x0000_s1101"/>
                </a:ext>
              </a:extLst>
            </xdr:cNvPr>
            <xdr:cNvSpPr/>
          </xdr:nvSpPr>
          <xdr:spPr>
            <a:xfrm>
              <a:off x="11372850" y="4560570"/>
              <a:ext cx="304800" cy="31432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619125</xdr:colOff>
          <xdr:row>15</xdr:row>
          <xdr:rowOff>9525</xdr:rowOff>
        </xdr:from>
        <xdr:to>
          <xdr:col>9</xdr:col>
          <xdr:colOff>942975</xdr:colOff>
          <xdr:row>16</xdr:row>
          <xdr:rowOff>38100</xdr:rowOff>
        </xdr:to>
        <xdr:sp>
          <xdr:nvSpPr>
            <xdr:cNvPr id="1102" name="Check Box 78" hidden="1">
              <a:extLst>
                <a:ext uri="{63B3BB69-23CF-44E3-9099-C40C66FF867C}">
                  <a14:compatExt spid="_x0000_s1102"/>
                </a:ext>
              </a:extLst>
            </xdr:cNvPr>
            <xdr:cNvSpPr/>
          </xdr:nvSpPr>
          <xdr:spPr>
            <a:xfrm>
              <a:off x="11811000" y="4846320"/>
              <a:ext cx="323850" cy="333375"/>
            </a:xfrm>
            <a:prstGeom prst="rect">
              <a:avLst/>
            </a:prstGeom>
          </xdr:spPr>
          <xdr:txBody>
            <a:bodyPr/>
            <a:p>
              <a:endParaRPr lang="en-US"/>
            </a:p>
          </xdr:txBody>
        </xdr:sp>
        <xdr:clientData fLocksWithSheet="0"/>
      </xdr:twoCellAnchor>
    </mc:Choice>
    <mc:Fallback/>
  </mc:AlternateContent>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9" Type="http://schemas.openxmlformats.org/officeDocument/2006/relationships/ctrlProp" Target="../ctrlProps/ctrlProp7.xml"/><Relationship Id="rId8" Type="http://schemas.openxmlformats.org/officeDocument/2006/relationships/ctrlProp" Target="../ctrlProps/ctrlProp6.xml"/><Relationship Id="rId7" Type="http://schemas.openxmlformats.org/officeDocument/2006/relationships/ctrlProp" Target="../ctrlProps/ctrlProp5.xml"/><Relationship Id="rId6" Type="http://schemas.openxmlformats.org/officeDocument/2006/relationships/ctrlProp" Target="../ctrlProps/ctrlProp4.xml"/><Relationship Id="rId5" Type="http://schemas.openxmlformats.org/officeDocument/2006/relationships/ctrlProp" Target="../ctrlProps/ctrlProp3.xml"/><Relationship Id="rId47" Type="http://schemas.openxmlformats.org/officeDocument/2006/relationships/ctrlProp" Target="../ctrlProps/ctrlProp45.xml"/><Relationship Id="rId46" Type="http://schemas.openxmlformats.org/officeDocument/2006/relationships/ctrlProp" Target="../ctrlProps/ctrlProp44.xml"/><Relationship Id="rId45" Type="http://schemas.openxmlformats.org/officeDocument/2006/relationships/ctrlProp" Target="../ctrlProps/ctrlProp43.xml"/><Relationship Id="rId44" Type="http://schemas.openxmlformats.org/officeDocument/2006/relationships/ctrlProp" Target="../ctrlProps/ctrlProp42.xml"/><Relationship Id="rId43" Type="http://schemas.openxmlformats.org/officeDocument/2006/relationships/ctrlProp" Target="../ctrlProps/ctrlProp41.xml"/><Relationship Id="rId42" Type="http://schemas.openxmlformats.org/officeDocument/2006/relationships/ctrlProp" Target="../ctrlProps/ctrlProp40.xml"/><Relationship Id="rId41" Type="http://schemas.openxmlformats.org/officeDocument/2006/relationships/ctrlProp" Target="../ctrlProps/ctrlProp39.xml"/><Relationship Id="rId40" Type="http://schemas.openxmlformats.org/officeDocument/2006/relationships/ctrlProp" Target="../ctrlProps/ctrlProp38.xml"/><Relationship Id="rId4" Type="http://schemas.openxmlformats.org/officeDocument/2006/relationships/ctrlProp" Target="../ctrlProps/ctrlProp2.xml"/><Relationship Id="rId39" Type="http://schemas.openxmlformats.org/officeDocument/2006/relationships/ctrlProp" Target="../ctrlProps/ctrlProp37.xml"/><Relationship Id="rId38" Type="http://schemas.openxmlformats.org/officeDocument/2006/relationships/ctrlProp" Target="../ctrlProps/ctrlProp36.xml"/><Relationship Id="rId37" Type="http://schemas.openxmlformats.org/officeDocument/2006/relationships/ctrlProp" Target="../ctrlProps/ctrlProp35.xml"/><Relationship Id="rId36" Type="http://schemas.openxmlformats.org/officeDocument/2006/relationships/ctrlProp" Target="../ctrlProps/ctrlProp34.xml"/><Relationship Id="rId35" Type="http://schemas.openxmlformats.org/officeDocument/2006/relationships/ctrlProp" Target="../ctrlProps/ctrlProp33.xml"/><Relationship Id="rId34" Type="http://schemas.openxmlformats.org/officeDocument/2006/relationships/ctrlProp" Target="../ctrlProps/ctrlProp32.xml"/><Relationship Id="rId33" Type="http://schemas.openxmlformats.org/officeDocument/2006/relationships/ctrlProp" Target="../ctrlProps/ctrlProp31.xml"/><Relationship Id="rId32" Type="http://schemas.openxmlformats.org/officeDocument/2006/relationships/ctrlProp" Target="../ctrlProps/ctrlProp30.xml"/><Relationship Id="rId31" Type="http://schemas.openxmlformats.org/officeDocument/2006/relationships/ctrlProp" Target="../ctrlProps/ctrlProp29.xml"/><Relationship Id="rId30" Type="http://schemas.openxmlformats.org/officeDocument/2006/relationships/ctrlProp" Target="../ctrlProps/ctrlProp28.xml"/><Relationship Id="rId3" Type="http://schemas.openxmlformats.org/officeDocument/2006/relationships/ctrlProp" Target="../ctrlProps/ctrlProp1.xml"/><Relationship Id="rId29" Type="http://schemas.openxmlformats.org/officeDocument/2006/relationships/ctrlProp" Target="../ctrlProps/ctrlProp27.xml"/><Relationship Id="rId28" Type="http://schemas.openxmlformats.org/officeDocument/2006/relationships/ctrlProp" Target="../ctrlProps/ctrlProp26.xml"/><Relationship Id="rId27" Type="http://schemas.openxmlformats.org/officeDocument/2006/relationships/ctrlProp" Target="../ctrlProps/ctrlProp25.xml"/><Relationship Id="rId26" Type="http://schemas.openxmlformats.org/officeDocument/2006/relationships/ctrlProp" Target="../ctrlProps/ctrlProp24.xml"/><Relationship Id="rId25" Type="http://schemas.openxmlformats.org/officeDocument/2006/relationships/ctrlProp" Target="../ctrlProps/ctrlProp23.xml"/><Relationship Id="rId24" Type="http://schemas.openxmlformats.org/officeDocument/2006/relationships/ctrlProp" Target="../ctrlProps/ctrlProp22.xml"/><Relationship Id="rId23" Type="http://schemas.openxmlformats.org/officeDocument/2006/relationships/ctrlProp" Target="../ctrlProps/ctrlProp21.xml"/><Relationship Id="rId22" Type="http://schemas.openxmlformats.org/officeDocument/2006/relationships/ctrlProp" Target="../ctrlProps/ctrlProp20.xml"/><Relationship Id="rId21" Type="http://schemas.openxmlformats.org/officeDocument/2006/relationships/ctrlProp" Target="../ctrlProps/ctrlProp19.xml"/><Relationship Id="rId20" Type="http://schemas.openxmlformats.org/officeDocument/2006/relationships/ctrlProp" Target="../ctrlProps/ctrlProp18.xml"/><Relationship Id="rId2" Type="http://schemas.openxmlformats.org/officeDocument/2006/relationships/vmlDrawing" Target="../drawings/vmlDrawing1.vml"/><Relationship Id="rId19" Type="http://schemas.openxmlformats.org/officeDocument/2006/relationships/ctrlProp" Target="../ctrlProps/ctrlProp17.xml"/><Relationship Id="rId18" Type="http://schemas.openxmlformats.org/officeDocument/2006/relationships/ctrlProp" Target="../ctrlProps/ctrlProp16.xml"/><Relationship Id="rId17" Type="http://schemas.openxmlformats.org/officeDocument/2006/relationships/ctrlProp" Target="../ctrlProps/ctrlProp15.xml"/><Relationship Id="rId16" Type="http://schemas.openxmlformats.org/officeDocument/2006/relationships/ctrlProp" Target="../ctrlProps/ctrlProp14.xml"/><Relationship Id="rId15" Type="http://schemas.openxmlformats.org/officeDocument/2006/relationships/ctrlProp" Target="../ctrlProps/ctrlProp13.xml"/><Relationship Id="rId14" Type="http://schemas.openxmlformats.org/officeDocument/2006/relationships/ctrlProp" Target="../ctrlProps/ctrlProp12.xml"/><Relationship Id="rId13" Type="http://schemas.openxmlformats.org/officeDocument/2006/relationships/ctrlProp" Target="../ctrlProps/ctrlProp11.xml"/><Relationship Id="rId12" Type="http://schemas.openxmlformats.org/officeDocument/2006/relationships/ctrlProp" Target="../ctrlProps/ctrlProp10.xml"/><Relationship Id="rId11" Type="http://schemas.openxmlformats.org/officeDocument/2006/relationships/ctrlProp" Target="../ctrlProps/ctrlProp9.xml"/><Relationship Id="rId10" Type="http://schemas.openxmlformats.org/officeDocument/2006/relationships/ctrlProp" Target="../ctrlProps/ctrlProp8.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U69"/>
  <sheetViews>
    <sheetView showGridLines="0" tabSelected="1" zoomScale="80" zoomScaleNormal="80" zoomScalePageLayoutView="75" topLeftCell="A30" workbookViewId="0">
      <selection activeCell="D10" sqref="D10"/>
    </sheetView>
  </sheetViews>
  <sheetFormatPr defaultColWidth="11" defaultRowHeight="15.75"/>
  <cols>
    <col min="1" max="1" width="17.875" customWidth="1"/>
    <col min="2" max="2" width="16.625" customWidth="1"/>
    <col min="3" max="3" width="18.375" customWidth="1"/>
    <col min="4" max="4" width="16.875" customWidth="1"/>
    <col min="5" max="5" width="10.625" customWidth="1"/>
    <col min="6" max="6" width="18.875" customWidth="1"/>
    <col min="7" max="7" width="17.125" customWidth="1"/>
    <col min="8" max="8" width="16.625" customWidth="1"/>
    <col min="9" max="9" width="13.875" customWidth="1"/>
    <col min="10" max="11" width="14.875" customWidth="1"/>
    <col min="12" max="12" width="9.75" customWidth="1"/>
    <col min="13" max="13" width="10.5" customWidth="1"/>
    <col min="15" max="23" width="7.375" customWidth="1"/>
  </cols>
  <sheetData>
    <row r="1" ht="33" customHeight="1" spans="1:13">
      <c r="A1" s="6"/>
      <c r="B1" s="7" t="s">
        <v>0</v>
      </c>
      <c r="C1" s="7"/>
      <c r="D1" s="7"/>
      <c r="E1" s="7"/>
      <c r="F1" s="7"/>
      <c r="G1" s="7"/>
      <c r="H1" s="7"/>
      <c r="I1" s="165"/>
      <c r="J1" s="166" t="s">
        <v>1</v>
      </c>
      <c r="K1" s="167"/>
      <c r="L1" s="168"/>
      <c r="M1" s="169"/>
    </row>
    <row r="2" ht="33" customHeight="1" spans="1:13">
      <c r="A2" s="8"/>
      <c r="B2" s="9" t="s">
        <v>2</v>
      </c>
      <c r="C2" s="9"/>
      <c r="D2" s="9"/>
      <c r="E2" s="9"/>
      <c r="F2" s="9"/>
      <c r="G2" s="9"/>
      <c r="H2" s="9"/>
      <c r="I2" s="170"/>
      <c r="J2" s="20"/>
      <c r="K2" s="171" t="s">
        <v>3</v>
      </c>
      <c r="L2" s="20"/>
      <c r="M2" s="172"/>
    </row>
    <row r="3" ht="33" customHeight="1" spans="1:13">
      <c r="A3" s="8"/>
      <c r="B3" s="10" t="s">
        <v>4</v>
      </c>
      <c r="C3" s="10"/>
      <c r="D3" s="10"/>
      <c r="E3" s="10"/>
      <c r="F3" s="10"/>
      <c r="G3" s="10"/>
      <c r="H3" s="10"/>
      <c r="I3" s="173"/>
      <c r="J3" s="174" t="s">
        <v>5</v>
      </c>
      <c r="K3" s="175" t="s">
        <v>6</v>
      </c>
      <c r="L3" s="23"/>
      <c r="M3" s="176"/>
    </row>
    <row r="4" ht="15.95" customHeight="1" spans="1:13">
      <c r="A4" s="8"/>
      <c r="B4" s="11"/>
      <c r="C4" s="12"/>
      <c r="D4" s="12"/>
      <c r="E4" s="11"/>
      <c r="F4" s="12"/>
      <c r="G4" s="12"/>
      <c r="H4" s="12"/>
      <c r="I4" s="138"/>
      <c r="J4" s="27"/>
      <c r="K4" s="11"/>
      <c r="L4" s="11"/>
      <c r="M4" s="177"/>
    </row>
    <row r="5" ht="23.1" customHeight="1" spans="1:13">
      <c r="A5" s="13"/>
      <c r="B5" s="14" t="s">
        <v>7</v>
      </c>
      <c r="C5" s="15"/>
      <c r="D5" s="16" t="s">
        <v>8</v>
      </c>
      <c r="E5" s="17"/>
      <c r="F5" s="15" t="s">
        <v>9</v>
      </c>
      <c r="G5" s="18"/>
      <c r="H5" s="15" t="s">
        <v>10</v>
      </c>
      <c r="I5" s="178"/>
      <c r="J5" s="20" t="s">
        <v>11</v>
      </c>
      <c r="K5" s="179">
        <v>44796</v>
      </c>
      <c r="L5" s="20"/>
      <c r="M5" s="172"/>
    </row>
    <row r="6" ht="24" customHeight="1" spans="1:13">
      <c r="A6" s="19"/>
      <c r="B6" s="20"/>
      <c r="C6" s="21"/>
      <c r="D6" s="20"/>
      <c r="E6" s="21"/>
      <c r="F6" s="11"/>
      <c r="G6" s="20"/>
      <c r="H6" s="20"/>
      <c r="I6" s="180"/>
      <c r="J6" s="181" t="s">
        <v>12</v>
      </c>
      <c r="K6" s="182" t="s">
        <v>13</v>
      </c>
      <c r="L6" s="183">
        <v>10</v>
      </c>
      <c r="M6" s="184"/>
    </row>
    <row r="7" ht="11.1" customHeight="1" spans="1:13">
      <c r="A7" s="22"/>
      <c r="B7" s="23"/>
      <c r="C7" s="24"/>
      <c r="D7" s="23"/>
      <c r="E7" s="24"/>
      <c r="F7" s="24"/>
      <c r="G7" s="23"/>
      <c r="H7" s="23"/>
      <c r="I7" s="23"/>
      <c r="J7" s="23"/>
      <c r="K7" s="23"/>
      <c r="L7" s="23"/>
      <c r="M7" s="176"/>
    </row>
    <row r="8" ht="33.95" customHeight="1" spans="1:13">
      <c r="A8" s="25" t="s">
        <v>14</v>
      </c>
      <c r="B8" s="26"/>
      <c r="C8" s="26"/>
      <c r="D8" s="26"/>
      <c r="E8" s="26"/>
      <c r="F8" s="26"/>
      <c r="G8" s="26"/>
      <c r="H8" s="26"/>
      <c r="I8" s="26"/>
      <c r="J8" s="26"/>
      <c r="K8" s="26"/>
      <c r="L8" s="26"/>
      <c r="M8" s="185"/>
    </row>
    <row r="9" ht="29.1" customHeight="1" spans="1:13">
      <c r="A9" s="8" t="s">
        <v>15</v>
      </c>
      <c r="B9" s="27"/>
      <c r="C9" s="11"/>
      <c r="D9" s="11"/>
      <c r="E9" s="11"/>
      <c r="F9" s="11"/>
      <c r="G9" s="11"/>
      <c r="H9" s="11" t="s">
        <v>16</v>
      </c>
      <c r="I9" s="11"/>
      <c r="J9" s="186"/>
      <c r="K9" s="11"/>
      <c r="L9" s="11"/>
      <c r="M9" s="177"/>
    </row>
    <row r="10" ht="29.1" customHeight="1" spans="1:13">
      <c r="A10" s="8" t="s">
        <v>17</v>
      </c>
      <c r="B10" s="28"/>
      <c r="C10" s="29"/>
      <c r="D10" s="29"/>
      <c r="E10" s="29"/>
      <c r="F10" s="29"/>
      <c r="G10" s="29"/>
      <c r="H10" s="11" t="s">
        <v>18</v>
      </c>
      <c r="I10" s="11"/>
      <c r="J10" s="187"/>
      <c r="K10" s="29"/>
      <c r="L10" s="29"/>
      <c r="M10" s="188"/>
    </row>
    <row r="11" ht="29.1" customHeight="1" spans="1:13">
      <c r="A11" s="8" t="s">
        <v>19</v>
      </c>
      <c r="B11" s="28"/>
      <c r="C11" s="30"/>
      <c r="D11" s="31"/>
      <c r="E11" s="31"/>
      <c r="F11" s="31"/>
      <c r="G11" s="31"/>
      <c r="H11" s="11" t="s">
        <v>20</v>
      </c>
      <c r="I11" s="11"/>
      <c r="J11" s="189"/>
      <c r="K11" s="29"/>
      <c r="L11" s="29"/>
      <c r="M11" s="188"/>
    </row>
    <row r="12" ht="20.25" spans="1:13">
      <c r="A12" s="8" t="s">
        <v>21</v>
      </c>
      <c r="B12" s="11"/>
      <c r="C12" s="27"/>
      <c r="D12" s="11"/>
      <c r="E12" s="27"/>
      <c r="F12" s="11"/>
      <c r="G12" s="11"/>
      <c r="H12" s="11" t="s">
        <v>22</v>
      </c>
      <c r="I12" s="11"/>
      <c r="J12" s="190"/>
      <c r="K12" s="190"/>
      <c r="L12" s="190"/>
      <c r="M12" s="191"/>
    </row>
    <row r="13" ht="20.25" spans="1:13">
      <c r="A13" s="19"/>
      <c r="B13" s="20"/>
      <c r="C13" s="32"/>
      <c r="D13" s="32"/>
      <c r="E13" s="32"/>
      <c r="F13" s="32"/>
      <c r="G13" s="32"/>
      <c r="H13" s="20"/>
      <c r="I13" s="20"/>
      <c r="J13" s="32"/>
      <c r="K13" s="32"/>
      <c r="L13" s="32"/>
      <c r="M13" s="192"/>
    </row>
    <row r="14" s="1" customFormat="1" ht="21.95" customHeight="1" spans="1:13">
      <c r="A14" s="33" t="s">
        <v>23</v>
      </c>
      <c r="B14" s="34"/>
      <c r="C14" s="34"/>
      <c r="D14" s="35"/>
      <c r="E14" s="36" t="s">
        <v>24</v>
      </c>
      <c r="F14" s="35"/>
      <c r="G14" s="36" t="s">
        <v>25</v>
      </c>
      <c r="H14" s="34"/>
      <c r="I14" s="34"/>
      <c r="J14" s="35"/>
      <c r="K14" s="36" t="s">
        <v>26</v>
      </c>
      <c r="L14" s="34"/>
      <c r="M14" s="193"/>
    </row>
    <row r="15" s="2" customFormat="1" ht="24" customHeight="1" spans="1:13">
      <c r="A15" s="37" t="s">
        <v>27</v>
      </c>
      <c r="B15" s="38"/>
      <c r="C15" s="38"/>
      <c r="D15" s="39"/>
      <c r="E15" s="38" t="s">
        <v>28</v>
      </c>
      <c r="F15" s="39"/>
      <c r="G15" s="38" t="s">
        <v>29</v>
      </c>
      <c r="H15" s="38"/>
      <c r="I15" s="38"/>
      <c r="J15" s="39"/>
      <c r="K15" s="38" t="s">
        <v>30</v>
      </c>
      <c r="L15" s="38"/>
      <c r="M15" s="194"/>
    </row>
    <row r="16" s="2" customFormat="1" ht="24" customHeight="1" spans="1:13">
      <c r="A16" s="37" t="s">
        <v>31</v>
      </c>
      <c r="B16" s="38"/>
      <c r="C16" s="38"/>
      <c r="D16" s="39"/>
      <c r="E16" s="38" t="s">
        <v>32</v>
      </c>
      <c r="F16" s="38"/>
      <c r="G16" s="40" t="s">
        <v>33</v>
      </c>
      <c r="H16" s="38"/>
      <c r="I16" s="38"/>
      <c r="J16" s="39"/>
      <c r="K16" s="38" t="s">
        <v>34</v>
      </c>
      <c r="L16" s="38"/>
      <c r="M16" s="194"/>
    </row>
    <row r="17" s="2" customFormat="1" ht="24" customHeight="1" spans="1:13">
      <c r="A17" s="37" t="s">
        <v>35</v>
      </c>
      <c r="B17" s="38"/>
      <c r="C17" s="38"/>
      <c r="D17" s="39"/>
      <c r="E17" s="38" t="s">
        <v>36</v>
      </c>
      <c r="F17" s="38"/>
      <c r="G17" s="41" t="s">
        <v>37</v>
      </c>
      <c r="H17" s="42"/>
      <c r="I17" s="42"/>
      <c r="J17" s="195"/>
      <c r="K17" s="196" t="s">
        <v>38</v>
      </c>
      <c r="L17" s="38"/>
      <c r="M17" s="197"/>
    </row>
    <row r="18" s="2" customFormat="1" ht="24" customHeight="1" spans="1:13">
      <c r="A18" s="37" t="s">
        <v>39</v>
      </c>
      <c r="B18" s="38"/>
      <c r="C18" s="38"/>
      <c r="D18" s="39"/>
      <c r="E18" s="38" t="s">
        <v>40</v>
      </c>
      <c r="F18" s="39" t="s">
        <v>41</v>
      </c>
      <c r="G18" s="38"/>
      <c r="H18" s="38"/>
      <c r="I18" s="38"/>
      <c r="J18" s="39"/>
      <c r="K18" s="38"/>
      <c r="L18" s="38"/>
      <c r="M18" s="194"/>
    </row>
    <row r="19" s="2" customFormat="1" ht="9" customHeight="1" spans="1:13">
      <c r="A19" s="43"/>
      <c r="B19" s="44"/>
      <c r="C19" s="44"/>
      <c r="D19" s="45"/>
      <c r="E19" s="44"/>
      <c r="F19" s="45"/>
      <c r="G19" s="44"/>
      <c r="H19" s="44"/>
      <c r="I19" s="44"/>
      <c r="J19" s="45"/>
      <c r="K19" s="44"/>
      <c r="L19" s="38"/>
      <c r="M19" s="198"/>
    </row>
    <row r="20" ht="29.1" customHeight="1" spans="1:13">
      <c r="A20" s="46" t="s">
        <v>42</v>
      </c>
      <c r="B20" s="47"/>
      <c r="C20" s="48"/>
      <c r="D20" s="49"/>
      <c r="E20" s="50" t="s">
        <v>43</v>
      </c>
      <c r="F20" s="47"/>
      <c r="G20" s="48"/>
      <c r="H20" s="51"/>
      <c r="I20" s="199" t="s">
        <v>44</v>
      </c>
      <c r="J20" s="200"/>
      <c r="K20" s="200"/>
      <c r="L20" s="200"/>
      <c r="M20" s="201"/>
    </row>
    <row r="21" ht="29.1" customHeight="1" spans="1:13">
      <c r="A21" s="52" t="s">
        <v>45</v>
      </c>
      <c r="B21" s="53"/>
      <c r="C21" s="54">
        <v>0.098</v>
      </c>
      <c r="D21" s="55"/>
      <c r="E21" s="56" t="s">
        <v>46</v>
      </c>
      <c r="F21" s="57"/>
      <c r="G21" s="58" t="s">
        <v>47</v>
      </c>
      <c r="H21" s="59"/>
      <c r="I21" s="74" t="s">
        <v>48</v>
      </c>
      <c r="J21" s="63"/>
      <c r="K21" s="202" t="s">
        <v>47</v>
      </c>
      <c r="L21" s="82"/>
      <c r="M21" s="203"/>
    </row>
    <row r="22" ht="29.1" customHeight="1" spans="1:13">
      <c r="A22" s="46" t="s">
        <v>49</v>
      </c>
      <c r="B22" s="47"/>
      <c r="C22" s="48"/>
      <c r="D22" s="60" t="s">
        <v>50</v>
      </c>
      <c r="E22" s="56" t="s">
        <v>51</v>
      </c>
      <c r="F22" s="57"/>
      <c r="G22" s="61" t="s">
        <v>47</v>
      </c>
      <c r="H22" s="59"/>
      <c r="I22" s="74" t="s">
        <v>52</v>
      </c>
      <c r="J22" s="63"/>
      <c r="K22" s="204" t="s">
        <v>47</v>
      </c>
      <c r="L22" s="205"/>
      <c r="M22" s="206"/>
    </row>
    <row r="23" ht="29.1" customHeight="1" spans="1:13">
      <c r="A23" s="62" t="s">
        <v>53</v>
      </c>
      <c r="B23" s="63"/>
      <c r="C23" s="64">
        <v>0.3</v>
      </c>
      <c r="D23" s="65"/>
      <c r="E23" s="66" t="s">
        <v>54</v>
      </c>
      <c r="F23" s="67"/>
      <c r="G23" s="67"/>
      <c r="H23" s="68"/>
      <c r="I23" s="74" t="s">
        <v>55</v>
      </c>
      <c r="J23" s="63"/>
      <c r="K23" s="61" t="s">
        <v>47</v>
      </c>
      <c r="L23" s="205"/>
      <c r="M23" s="206"/>
    </row>
    <row r="24" ht="29.1" customHeight="1" spans="1:13">
      <c r="A24" s="62" t="s">
        <v>56</v>
      </c>
      <c r="B24" s="63"/>
      <c r="C24" s="64">
        <v>0.21</v>
      </c>
      <c r="D24" s="59"/>
      <c r="E24" s="69">
        <f>100-K38</f>
        <v>4</v>
      </c>
      <c r="F24" s="70" t="s">
        <v>57</v>
      </c>
      <c r="G24" s="71" t="s">
        <v>58</v>
      </c>
      <c r="H24" s="65"/>
      <c r="I24" s="74" t="s">
        <v>59</v>
      </c>
      <c r="J24" s="63"/>
      <c r="K24" s="207" t="s">
        <v>47</v>
      </c>
      <c r="L24" s="82"/>
      <c r="M24" s="203"/>
    </row>
    <row r="25" ht="29.1" customHeight="1" spans="1:13">
      <c r="A25" s="62" t="s">
        <v>60</v>
      </c>
      <c r="B25" s="63"/>
      <c r="C25" s="64">
        <v>0.09</v>
      </c>
      <c r="D25" s="72"/>
      <c r="E25" s="50" t="s">
        <v>61</v>
      </c>
      <c r="F25" s="47"/>
      <c r="G25" s="48"/>
      <c r="H25" s="60" t="s">
        <v>50</v>
      </c>
      <c r="I25" s="74" t="s">
        <v>62</v>
      </c>
      <c r="J25" s="63"/>
      <c r="K25" s="208" t="s">
        <v>47</v>
      </c>
      <c r="L25" s="82"/>
      <c r="M25" s="203"/>
    </row>
    <row r="26" ht="29.1" customHeight="1" spans="1:21">
      <c r="A26" s="62" t="s">
        <v>63</v>
      </c>
      <c r="B26" s="63"/>
      <c r="C26" s="73" t="s">
        <v>64</v>
      </c>
      <c r="D26" s="65"/>
      <c r="E26" s="74" t="s">
        <v>65</v>
      </c>
      <c r="F26" s="63"/>
      <c r="G26" s="75" t="s">
        <v>47</v>
      </c>
      <c r="H26" s="76"/>
      <c r="I26" s="209" t="s">
        <v>66</v>
      </c>
      <c r="J26" s="210"/>
      <c r="K26" s="210"/>
      <c r="L26" s="210"/>
      <c r="M26" s="211"/>
      <c r="O26" s="2"/>
      <c r="P26" s="2"/>
      <c r="Q26" s="2"/>
      <c r="S26" s="2"/>
      <c r="U26" s="2"/>
    </row>
    <row r="27" ht="29.1" customHeight="1" spans="1:21">
      <c r="A27" s="77" t="s">
        <v>67</v>
      </c>
      <c r="B27" s="78"/>
      <c r="C27" s="78"/>
      <c r="D27" s="79"/>
      <c r="E27" s="74" t="s">
        <v>68</v>
      </c>
      <c r="F27" s="63"/>
      <c r="G27" s="263" t="s">
        <v>64</v>
      </c>
      <c r="H27" s="76"/>
      <c r="I27" s="50" t="s">
        <v>69</v>
      </c>
      <c r="J27" s="47"/>
      <c r="K27" s="48"/>
      <c r="L27" s="60" t="s">
        <v>50</v>
      </c>
      <c r="M27" s="212"/>
      <c r="O27" s="2"/>
      <c r="P27" s="2"/>
      <c r="Q27" s="2"/>
      <c r="S27" s="2"/>
      <c r="T27" s="2"/>
      <c r="U27" s="2"/>
    </row>
    <row r="28" ht="29.1" customHeight="1" spans="1:17">
      <c r="A28" s="81" t="s">
        <v>70</v>
      </c>
      <c r="B28" s="82"/>
      <c r="C28" s="82"/>
      <c r="D28" s="65"/>
      <c r="E28" s="74" t="s">
        <v>71</v>
      </c>
      <c r="F28" s="63"/>
      <c r="G28" s="263" t="s">
        <v>64</v>
      </c>
      <c r="H28" s="65"/>
      <c r="I28" s="74" t="s">
        <v>72</v>
      </c>
      <c r="J28" s="63"/>
      <c r="K28" s="208" t="s">
        <v>47</v>
      </c>
      <c r="L28" s="86"/>
      <c r="M28" s="213"/>
      <c r="O28" s="2"/>
      <c r="P28" s="2"/>
      <c r="Q28" s="2"/>
    </row>
    <row r="29" ht="29.1" customHeight="1" spans="1:15">
      <c r="A29" s="81" t="s">
        <v>73</v>
      </c>
      <c r="B29" s="82"/>
      <c r="C29" s="82"/>
      <c r="D29" s="65"/>
      <c r="E29" s="74" t="s">
        <v>74</v>
      </c>
      <c r="F29" s="63"/>
      <c r="G29" s="263" t="s">
        <v>64</v>
      </c>
      <c r="H29" s="59"/>
      <c r="I29" s="87" t="s">
        <v>75</v>
      </c>
      <c r="J29" s="88"/>
      <c r="K29" s="208" t="s">
        <v>47</v>
      </c>
      <c r="L29" s="214"/>
      <c r="M29" s="215"/>
      <c r="O29" s="2"/>
    </row>
    <row r="30" ht="29.1" customHeight="1" spans="1:15">
      <c r="A30" s="46" t="s">
        <v>76</v>
      </c>
      <c r="B30" s="83"/>
      <c r="C30" s="48"/>
      <c r="D30" s="60" t="s">
        <v>50</v>
      </c>
      <c r="E30" s="50" t="s">
        <v>77</v>
      </c>
      <c r="F30" s="47"/>
      <c r="G30" s="48"/>
      <c r="H30" s="84" t="s">
        <v>50</v>
      </c>
      <c r="I30" s="216" t="s">
        <v>78</v>
      </c>
      <c r="J30" s="216"/>
      <c r="K30" s="216"/>
      <c r="L30" s="216"/>
      <c r="M30" s="217"/>
      <c r="O30" s="2"/>
    </row>
    <row r="31" ht="29.1" customHeight="1" spans="1:13">
      <c r="A31" s="62" t="s">
        <v>79</v>
      </c>
      <c r="B31" s="63"/>
      <c r="C31" s="85">
        <v>0.02</v>
      </c>
      <c r="D31" s="86"/>
      <c r="E31" s="87" t="s">
        <v>80</v>
      </c>
      <c r="F31" s="88"/>
      <c r="G31" s="75" t="s">
        <v>47</v>
      </c>
      <c r="H31" s="89"/>
      <c r="I31" s="38"/>
      <c r="J31" s="38" t="s">
        <v>81</v>
      </c>
      <c r="K31" s="38"/>
      <c r="L31" s="38" t="s">
        <v>82</v>
      </c>
      <c r="M31" s="218"/>
    </row>
    <row r="32" ht="29.1" customHeight="1" spans="1:13">
      <c r="A32" s="62" t="s">
        <v>83</v>
      </c>
      <c r="B32" s="63"/>
      <c r="C32" s="90" t="s">
        <v>84</v>
      </c>
      <c r="D32" s="86"/>
      <c r="E32" s="50" t="s">
        <v>85</v>
      </c>
      <c r="F32" s="47"/>
      <c r="G32" s="48"/>
      <c r="H32" s="84" t="s">
        <v>50</v>
      </c>
      <c r="I32" s="219" t="s">
        <v>86</v>
      </c>
      <c r="J32" s="220"/>
      <c r="K32" s="221" t="s">
        <v>87</v>
      </c>
      <c r="L32" s="222" t="s">
        <v>50</v>
      </c>
      <c r="M32" s="223"/>
    </row>
    <row r="33" ht="29.1" customHeight="1" spans="1:21">
      <c r="A33" s="52" t="s">
        <v>88</v>
      </c>
      <c r="B33" s="67"/>
      <c r="C33" s="67"/>
      <c r="D33" s="68"/>
      <c r="E33" s="74" t="s">
        <v>89</v>
      </c>
      <c r="F33" s="63"/>
      <c r="G33" s="75" t="s">
        <v>47</v>
      </c>
      <c r="H33" s="91"/>
      <c r="I33" s="224"/>
      <c r="J33" s="225"/>
      <c r="K33" s="226"/>
      <c r="L33" s="227" t="s">
        <v>90</v>
      </c>
      <c r="M33" s="228" t="s">
        <v>91</v>
      </c>
      <c r="U33" s="2"/>
    </row>
    <row r="34" ht="29.1" customHeight="1" spans="1:21">
      <c r="A34" s="46" t="s">
        <v>92</v>
      </c>
      <c r="B34" s="47"/>
      <c r="C34" s="48"/>
      <c r="D34" s="92"/>
      <c r="E34" s="74" t="s">
        <v>93</v>
      </c>
      <c r="F34" s="63"/>
      <c r="G34" s="264" t="s">
        <v>64</v>
      </c>
      <c r="H34" s="91"/>
      <c r="I34" s="229">
        <v>75</v>
      </c>
      <c r="J34" s="53" t="s">
        <v>94</v>
      </c>
      <c r="K34" s="208"/>
      <c r="L34" s="82"/>
      <c r="M34" s="203"/>
      <c r="T34" s="2"/>
      <c r="U34" s="2"/>
    </row>
    <row r="35" ht="29.1" customHeight="1" spans="1:21">
      <c r="A35" s="62" t="s">
        <v>95</v>
      </c>
      <c r="B35" s="63"/>
      <c r="C35" s="75" t="s">
        <v>47</v>
      </c>
      <c r="D35" s="93"/>
      <c r="E35" s="87" t="s">
        <v>96</v>
      </c>
      <c r="F35" s="88"/>
      <c r="G35" s="264" t="s">
        <v>64</v>
      </c>
      <c r="H35" s="91"/>
      <c r="I35" s="229">
        <v>63</v>
      </c>
      <c r="J35" s="53" t="s">
        <v>94</v>
      </c>
      <c r="K35" s="230"/>
      <c r="L35" s="82"/>
      <c r="M35" s="203"/>
      <c r="T35" s="2"/>
      <c r="U35" s="2"/>
    </row>
    <row r="36" ht="29.1" customHeight="1" spans="1:21">
      <c r="A36" s="62" t="s">
        <v>97</v>
      </c>
      <c r="B36" s="63"/>
      <c r="C36" s="75" t="s">
        <v>47</v>
      </c>
      <c r="D36" s="94"/>
      <c r="E36" s="50" t="s">
        <v>98</v>
      </c>
      <c r="F36" s="47"/>
      <c r="G36" s="48"/>
      <c r="H36" s="84" t="s">
        <v>50</v>
      </c>
      <c r="I36" s="229">
        <v>37.5</v>
      </c>
      <c r="J36" s="53" t="s">
        <v>94</v>
      </c>
      <c r="K36" s="231">
        <v>100</v>
      </c>
      <c r="L36" s="82"/>
      <c r="M36" s="203"/>
      <c r="T36" s="2"/>
      <c r="U36" s="2"/>
    </row>
    <row r="37" ht="29.1" customHeight="1" spans="1:21">
      <c r="A37" s="95" t="s">
        <v>99</v>
      </c>
      <c r="B37" s="88"/>
      <c r="C37" s="96" t="s">
        <v>47</v>
      </c>
      <c r="D37" s="97"/>
      <c r="E37" s="87" t="s">
        <v>100</v>
      </c>
      <c r="F37" s="88"/>
      <c r="G37" s="96" t="s">
        <v>47</v>
      </c>
      <c r="H37" s="98"/>
      <c r="I37" s="232">
        <v>26.5</v>
      </c>
      <c r="J37" s="53" t="s">
        <v>94</v>
      </c>
      <c r="K37" s="231">
        <v>98</v>
      </c>
      <c r="L37" s="82"/>
      <c r="M37" s="203"/>
      <c r="T37" s="2"/>
      <c r="U37" s="2"/>
    </row>
    <row r="38" ht="29.1" customHeight="1" spans="1:21">
      <c r="A38" s="46" t="s">
        <v>101</v>
      </c>
      <c r="B38" s="47"/>
      <c r="C38" s="48"/>
      <c r="D38" s="99" t="s">
        <v>50</v>
      </c>
      <c r="E38" s="100" t="s">
        <v>102</v>
      </c>
      <c r="F38" s="101"/>
      <c r="G38" s="102"/>
      <c r="H38" s="103" t="s">
        <v>50</v>
      </c>
      <c r="I38" s="229">
        <v>19</v>
      </c>
      <c r="J38" s="53" t="s">
        <v>94</v>
      </c>
      <c r="K38" s="231">
        <v>96</v>
      </c>
      <c r="L38" s="82"/>
      <c r="M38" s="203"/>
      <c r="T38" s="2"/>
      <c r="U38" s="2"/>
    </row>
    <row r="39" s="3" customFormat="1" ht="29.1" customHeight="1" spans="1:21">
      <c r="A39" s="104" t="s">
        <v>103</v>
      </c>
      <c r="B39" s="105"/>
      <c r="C39" s="106"/>
      <c r="D39" s="107"/>
      <c r="E39" s="108" t="s">
        <v>104</v>
      </c>
      <c r="F39" s="109"/>
      <c r="G39" s="110"/>
      <c r="H39" s="111"/>
      <c r="I39" s="233">
        <v>13.2</v>
      </c>
      <c r="J39" s="71" t="s">
        <v>94</v>
      </c>
      <c r="K39" s="231">
        <v>92</v>
      </c>
      <c r="L39" s="82"/>
      <c r="M39" s="203"/>
      <c r="T39" s="1"/>
      <c r="U39" s="1"/>
    </row>
    <row r="40" s="3" customFormat="1" ht="29.1" customHeight="1" spans="1:21">
      <c r="A40" s="112" t="s">
        <v>105</v>
      </c>
      <c r="B40" s="113"/>
      <c r="C40" s="114"/>
      <c r="D40" s="115"/>
      <c r="E40" s="116" t="s">
        <v>106</v>
      </c>
      <c r="F40" s="114"/>
      <c r="G40" s="117"/>
      <c r="H40" s="118"/>
      <c r="I40" s="233">
        <v>9.5</v>
      </c>
      <c r="J40" s="71" t="s">
        <v>94</v>
      </c>
      <c r="K40" s="231">
        <v>86</v>
      </c>
      <c r="L40" s="82"/>
      <c r="M40" s="203"/>
      <c r="T40" s="1"/>
      <c r="U40" s="1"/>
    </row>
    <row r="41" ht="29.1" customHeight="1" spans="1:21">
      <c r="A41" s="265" t="s">
        <v>107</v>
      </c>
      <c r="B41" s="120"/>
      <c r="C41" s="120"/>
      <c r="D41" s="120"/>
      <c r="E41" s="120"/>
      <c r="F41" s="120"/>
      <c r="G41" s="120"/>
      <c r="H41" s="121"/>
      <c r="I41" s="234">
        <v>6.7</v>
      </c>
      <c r="J41" s="71" t="s">
        <v>94</v>
      </c>
      <c r="K41" s="231">
        <v>80</v>
      </c>
      <c r="L41" s="82"/>
      <c r="M41" s="203"/>
      <c r="T41" s="2"/>
      <c r="U41" s="2"/>
    </row>
    <row r="42" ht="29.1" customHeight="1" spans="1:21">
      <c r="A42" s="122" t="s">
        <v>108</v>
      </c>
      <c r="B42" s="123" t="s">
        <v>109</v>
      </c>
      <c r="C42" s="124" t="s">
        <v>110</v>
      </c>
      <c r="D42" s="125"/>
      <c r="E42" s="266" t="s">
        <v>111</v>
      </c>
      <c r="F42" s="127"/>
      <c r="G42" s="128"/>
      <c r="H42" s="129"/>
      <c r="I42" s="232">
        <v>4.75</v>
      </c>
      <c r="J42" s="53" t="s">
        <v>94</v>
      </c>
      <c r="K42" s="231">
        <v>74</v>
      </c>
      <c r="L42" s="82"/>
      <c r="M42" s="203"/>
      <c r="T42" s="2"/>
      <c r="U42" s="2"/>
    </row>
    <row r="43" ht="29.1" customHeight="1" spans="1:21">
      <c r="A43" s="130"/>
      <c r="B43" s="131" t="s">
        <v>112</v>
      </c>
      <c r="C43" s="267" t="s">
        <v>64</v>
      </c>
      <c r="D43" s="133"/>
      <c r="E43" s="134"/>
      <c r="F43" s="135" t="s">
        <v>113</v>
      </c>
      <c r="G43" s="136">
        <f>IF((K49/K46)=0,"na",K49/K46)</f>
        <v>0.866666666666667</v>
      </c>
      <c r="H43" s="137"/>
      <c r="I43" s="232">
        <v>2.36</v>
      </c>
      <c r="J43" s="53" t="s">
        <v>94</v>
      </c>
      <c r="K43" s="231">
        <v>61</v>
      </c>
      <c r="L43" s="82"/>
      <c r="M43" s="203"/>
      <c r="T43" s="2"/>
      <c r="U43" s="2"/>
    </row>
    <row r="44" ht="29.1" customHeight="1" spans="1:21">
      <c r="A44" s="8"/>
      <c r="B44" s="11"/>
      <c r="C44" s="11"/>
      <c r="D44" s="11"/>
      <c r="E44" s="11"/>
      <c r="F44" s="11"/>
      <c r="G44" s="11"/>
      <c r="H44" s="138"/>
      <c r="I44" s="232">
        <v>1.18</v>
      </c>
      <c r="J44" s="53" t="s">
        <v>94</v>
      </c>
      <c r="K44" s="231">
        <v>52</v>
      </c>
      <c r="L44" s="82"/>
      <c r="M44" s="203"/>
      <c r="T44" s="2"/>
      <c r="U44" s="2"/>
    </row>
    <row r="45" ht="29.1" customHeight="1" spans="1:21">
      <c r="A45" s="8"/>
      <c r="B45" s="11"/>
      <c r="C45" s="11"/>
      <c r="D45" s="11"/>
      <c r="E45" s="11"/>
      <c r="F45" s="11"/>
      <c r="G45" s="11"/>
      <c r="H45" s="138"/>
      <c r="I45" s="232">
        <v>0.6</v>
      </c>
      <c r="J45" s="53" t="s">
        <v>94</v>
      </c>
      <c r="K45" s="231">
        <v>47</v>
      </c>
      <c r="L45" s="82"/>
      <c r="M45" s="203"/>
      <c r="T45" s="2"/>
      <c r="U45" s="2"/>
    </row>
    <row r="46" ht="29.1" customHeight="1" spans="1:13">
      <c r="A46" s="8"/>
      <c r="B46" s="11"/>
      <c r="C46" s="11"/>
      <c r="D46" s="11"/>
      <c r="E46" s="11"/>
      <c r="F46" s="11"/>
      <c r="G46" s="11"/>
      <c r="H46" s="138"/>
      <c r="I46" s="232">
        <v>0.425</v>
      </c>
      <c r="J46" s="53" t="s">
        <v>94</v>
      </c>
      <c r="K46" s="231">
        <v>45</v>
      </c>
      <c r="L46" s="82"/>
      <c r="M46" s="203"/>
    </row>
    <row r="47" ht="29.1" customHeight="1" spans="1:13">
      <c r="A47" s="8"/>
      <c r="B47" s="11"/>
      <c r="C47" s="11"/>
      <c r="D47" s="11"/>
      <c r="E47" s="11"/>
      <c r="F47" s="11"/>
      <c r="G47" s="11"/>
      <c r="H47" s="138"/>
      <c r="I47" s="232">
        <v>0.3</v>
      </c>
      <c r="J47" s="53" t="s">
        <v>94</v>
      </c>
      <c r="K47" s="231">
        <v>44</v>
      </c>
      <c r="L47" s="82"/>
      <c r="M47" s="203"/>
    </row>
    <row r="48" ht="29.1" customHeight="1" spans="1:13">
      <c r="A48" s="8"/>
      <c r="B48" s="11"/>
      <c r="C48" s="11"/>
      <c r="D48" s="11"/>
      <c r="E48" s="11"/>
      <c r="F48" s="11"/>
      <c r="G48" s="11"/>
      <c r="H48" s="138"/>
      <c r="I48" s="232">
        <v>0.15</v>
      </c>
      <c r="J48" s="53" t="s">
        <v>94</v>
      </c>
      <c r="K48" s="231">
        <v>41</v>
      </c>
      <c r="L48" s="82"/>
      <c r="M48" s="203"/>
    </row>
    <row r="49" ht="29.1" customHeight="1" spans="1:13">
      <c r="A49" s="8"/>
      <c r="B49" s="11"/>
      <c r="C49" s="11"/>
      <c r="D49" s="11"/>
      <c r="E49" s="11"/>
      <c r="F49" s="11"/>
      <c r="G49" s="11"/>
      <c r="H49" s="138"/>
      <c r="I49" s="235">
        <v>0.075</v>
      </c>
      <c r="J49" s="236" t="s">
        <v>94</v>
      </c>
      <c r="K49" s="237">
        <v>39</v>
      </c>
      <c r="L49" s="238"/>
      <c r="M49" s="239"/>
    </row>
    <row r="50" ht="29.1" customHeight="1" spans="1:13">
      <c r="A50" s="8"/>
      <c r="B50" s="11"/>
      <c r="C50" s="11"/>
      <c r="D50" s="11"/>
      <c r="E50" s="11"/>
      <c r="F50" s="11"/>
      <c r="G50" s="11"/>
      <c r="H50" s="138"/>
      <c r="I50" s="240" t="s">
        <v>114</v>
      </c>
      <c r="J50" s="241" t="s">
        <v>115</v>
      </c>
      <c r="K50" s="241" t="s">
        <v>116</v>
      </c>
      <c r="L50" s="242" t="s">
        <v>117</v>
      </c>
      <c r="M50" s="243"/>
    </row>
    <row r="51" ht="29.1" customHeight="1" spans="1:13">
      <c r="A51" s="8"/>
      <c r="B51" s="11"/>
      <c r="C51" s="11"/>
      <c r="D51" s="11"/>
      <c r="E51" s="11"/>
      <c r="F51" s="11"/>
      <c r="G51" s="11"/>
      <c r="H51" s="138"/>
      <c r="I51" s="244" t="s">
        <v>84</v>
      </c>
      <c r="J51" s="245">
        <f>SUM(100-K43)</f>
        <v>39</v>
      </c>
      <c r="K51" s="245">
        <f>SUM(100-(L51+J51))</f>
        <v>22</v>
      </c>
      <c r="L51" s="246">
        <f>K49</f>
        <v>39</v>
      </c>
      <c r="M51" s="247"/>
    </row>
    <row r="52" ht="29.1" customHeight="1" spans="1:13">
      <c r="A52" s="8"/>
      <c r="B52" s="11"/>
      <c r="C52" s="11"/>
      <c r="D52" s="11"/>
      <c r="E52" s="11"/>
      <c r="F52" s="11"/>
      <c r="G52" s="11"/>
      <c r="H52" s="138"/>
      <c r="I52" s="248" t="s">
        <v>118</v>
      </c>
      <c r="J52" s="249"/>
      <c r="K52" s="249"/>
      <c r="L52" s="249"/>
      <c r="M52" s="250"/>
    </row>
    <row r="53" ht="29.1" customHeight="1" spans="1:13">
      <c r="A53" s="8"/>
      <c r="B53" s="11"/>
      <c r="C53" s="11"/>
      <c r="D53" s="11"/>
      <c r="E53" s="11"/>
      <c r="F53" s="11"/>
      <c r="G53" s="11"/>
      <c r="H53" s="11"/>
      <c r="I53" s="8"/>
      <c r="J53" s="11"/>
      <c r="K53" s="11"/>
      <c r="L53" s="11"/>
      <c r="M53" s="177"/>
    </row>
    <row r="54" ht="29.1" customHeight="1" spans="1:13">
      <c r="A54" s="8"/>
      <c r="B54" s="11"/>
      <c r="C54" s="11"/>
      <c r="D54" s="11"/>
      <c r="E54" s="11"/>
      <c r="F54" s="11"/>
      <c r="G54" s="11"/>
      <c r="H54" s="11"/>
      <c r="I54" s="8"/>
      <c r="J54" s="11"/>
      <c r="K54" s="11"/>
      <c r="L54" s="11"/>
      <c r="M54" s="177"/>
    </row>
    <row r="55" ht="29.1" customHeight="1" spans="1:13">
      <c r="A55" s="139"/>
      <c r="B55" s="140"/>
      <c r="C55" s="140"/>
      <c r="D55" s="140"/>
      <c r="E55" s="140"/>
      <c r="F55" s="140"/>
      <c r="G55" s="140"/>
      <c r="H55" s="140"/>
      <c r="I55" s="8"/>
      <c r="J55" s="11"/>
      <c r="K55" s="11"/>
      <c r="L55" s="11"/>
      <c r="M55" s="177"/>
    </row>
    <row r="56" ht="29.1" customHeight="1" spans="1:13">
      <c r="A56" s="141" t="s">
        <v>119</v>
      </c>
      <c r="B56" s="11"/>
      <c r="C56" s="11"/>
      <c r="D56" s="11"/>
      <c r="E56" s="142"/>
      <c r="F56" s="11"/>
      <c r="G56" s="143" t="s">
        <v>120</v>
      </c>
      <c r="H56" s="144"/>
      <c r="I56" s="8"/>
      <c r="J56" s="11"/>
      <c r="K56" s="11"/>
      <c r="L56" s="11"/>
      <c r="M56" s="177"/>
    </row>
    <row r="57" ht="29.1" customHeight="1" spans="1:13">
      <c r="A57" s="145"/>
      <c r="B57" s="11"/>
      <c r="C57" s="11"/>
      <c r="D57" s="11"/>
      <c r="E57" s="11"/>
      <c r="F57" s="11"/>
      <c r="G57" s="146" t="s">
        <v>121</v>
      </c>
      <c r="H57" s="144"/>
      <c r="I57" s="8"/>
      <c r="J57" s="11"/>
      <c r="K57" s="11"/>
      <c r="L57" s="11"/>
      <c r="M57" s="177"/>
    </row>
    <row r="58" ht="29.1" customHeight="1" spans="1:13">
      <c r="A58" s="19"/>
      <c r="B58" s="20"/>
      <c r="C58" s="20"/>
      <c r="D58" s="20"/>
      <c r="E58" s="20"/>
      <c r="F58" s="20"/>
      <c r="G58" s="147"/>
      <c r="H58" s="148"/>
      <c r="I58" s="152"/>
      <c r="J58" s="142"/>
      <c r="K58" s="142"/>
      <c r="L58" s="142"/>
      <c r="M58" s="177"/>
    </row>
    <row r="59" ht="29.1" customHeight="1" spans="1:13">
      <c r="A59" s="149" t="s">
        <v>122</v>
      </c>
      <c r="B59" s="11"/>
      <c r="C59" s="11"/>
      <c r="D59" s="11"/>
      <c r="E59" s="11"/>
      <c r="F59" s="11"/>
      <c r="G59" s="150"/>
      <c r="H59" s="151"/>
      <c r="I59" s="251"/>
      <c r="J59" s="252"/>
      <c r="K59" s="252"/>
      <c r="L59" s="252"/>
      <c r="M59" s="253"/>
    </row>
    <row r="60" ht="29.1" customHeight="1" spans="1:13">
      <c r="A60" s="152"/>
      <c r="B60" s="142"/>
      <c r="C60" s="142"/>
      <c r="D60" s="142"/>
      <c r="E60" s="142"/>
      <c r="F60" s="142"/>
      <c r="G60" s="142"/>
      <c r="H60" s="153"/>
      <c r="I60" s="268" t="s">
        <v>123</v>
      </c>
      <c r="J60" s="255"/>
      <c r="K60" s="255"/>
      <c r="L60" s="255"/>
      <c r="M60" s="256"/>
    </row>
    <row r="61" s="4" customFormat="1" ht="29.1" customHeight="1" spans="1:13">
      <c r="A61" s="154" t="s">
        <v>124</v>
      </c>
      <c r="B61" s="155"/>
      <c r="C61" s="156" t="s">
        <v>125</v>
      </c>
      <c r="D61" s="157"/>
      <c r="E61" s="157"/>
      <c r="F61" s="156" t="s">
        <v>126</v>
      </c>
      <c r="G61" s="158">
        <v>44796</v>
      </c>
      <c r="H61" s="159"/>
      <c r="I61" s="257"/>
      <c r="J61" s="258"/>
      <c r="K61" s="258"/>
      <c r="L61" s="258"/>
      <c r="M61" s="259"/>
    </row>
    <row r="62" s="5" customFormat="1" ht="24" customHeight="1" spans="1:13">
      <c r="A62" s="160" t="s">
        <v>127</v>
      </c>
      <c r="B62" s="161"/>
      <c r="C62" s="162" t="s">
        <v>128</v>
      </c>
      <c r="D62" s="163"/>
      <c r="E62" s="163"/>
      <c r="F62" s="163"/>
      <c r="G62" s="163"/>
      <c r="H62" s="164"/>
      <c r="I62" s="260" t="s">
        <v>129</v>
      </c>
      <c r="J62" s="163"/>
      <c r="K62" s="261">
        <v>44967</v>
      </c>
      <c r="L62" s="163" t="s">
        <v>130</v>
      </c>
      <c r="M62" s="262"/>
    </row>
    <row r="64" s="2" customFormat="1" ht="21" spans="9:13">
      <c r="I64"/>
      <c r="J64"/>
      <c r="K64"/>
      <c r="L64"/>
      <c r="M64"/>
    </row>
    <row r="65" s="2" customFormat="1" ht="24" spans="1:1">
      <c r="A65" s="269" t="s">
        <v>131</v>
      </c>
    </row>
    <row r="66" s="2" customFormat="1" ht="24" spans="1:1">
      <c r="A66" s="269" t="s">
        <v>132</v>
      </c>
    </row>
    <row r="67" s="2" customFormat="1" ht="21"/>
    <row r="68" s="2" customFormat="1" ht="21"/>
    <row r="69" ht="21" spans="9:13">
      <c r="I69" s="2"/>
      <c r="J69" s="2"/>
      <c r="K69" s="2"/>
      <c r="L69" s="2"/>
      <c r="M69" s="2"/>
    </row>
  </sheetData>
  <mergeCells count="52">
    <mergeCell ref="B1:I1"/>
    <mergeCell ref="B2:I2"/>
    <mergeCell ref="B3:I3"/>
    <mergeCell ref="A8:M8"/>
    <mergeCell ref="J12:M12"/>
    <mergeCell ref="A14:D14"/>
    <mergeCell ref="E14:F14"/>
    <mergeCell ref="G14:J14"/>
    <mergeCell ref="K14:M14"/>
    <mergeCell ref="E21:F21"/>
    <mergeCell ref="I21:J21"/>
    <mergeCell ref="L21:M21"/>
    <mergeCell ref="E22:F22"/>
    <mergeCell ref="I22:J22"/>
    <mergeCell ref="L22:M22"/>
    <mergeCell ref="A23:B23"/>
    <mergeCell ref="I23:J23"/>
    <mergeCell ref="L23:M23"/>
    <mergeCell ref="A24:B24"/>
    <mergeCell ref="I24:J24"/>
    <mergeCell ref="L24:M24"/>
    <mergeCell ref="A25:B25"/>
    <mergeCell ref="I25:J25"/>
    <mergeCell ref="L25:M25"/>
    <mergeCell ref="A26:B26"/>
    <mergeCell ref="E26:F26"/>
    <mergeCell ref="I26:M26"/>
    <mergeCell ref="E27:F27"/>
    <mergeCell ref="L27:M27"/>
    <mergeCell ref="A28:D28"/>
    <mergeCell ref="E28:F28"/>
    <mergeCell ref="I28:J28"/>
    <mergeCell ref="L28:M28"/>
    <mergeCell ref="A29:D29"/>
    <mergeCell ref="E29:F29"/>
    <mergeCell ref="I29:J29"/>
    <mergeCell ref="L29:M29"/>
    <mergeCell ref="I30:M30"/>
    <mergeCell ref="A31:B31"/>
    <mergeCell ref="E31:F31"/>
    <mergeCell ref="A32:B32"/>
    <mergeCell ref="L32:M32"/>
    <mergeCell ref="A35:B35"/>
    <mergeCell ref="A36:B36"/>
    <mergeCell ref="A37:B37"/>
    <mergeCell ref="A41:H41"/>
    <mergeCell ref="L50:M50"/>
    <mergeCell ref="L51:M51"/>
    <mergeCell ref="I52:M52"/>
    <mergeCell ref="K32:K33"/>
    <mergeCell ref="I60:M61"/>
    <mergeCell ref="I32:J33"/>
  </mergeCells>
  <printOptions horizontalCentered="1" verticalCentered="1"/>
  <pageMargins left="0.36" right="0.36" top="0.41" bottom="0.41" header="0.3" footer="0.1"/>
  <pageSetup paperSize="9" scale="44" orientation="portrait"/>
  <headerFooter/>
  <drawing r:id="rId1"/>
  <legacyDrawing r:id="rId2"/>
  <mc:AlternateContent xmlns:mc="http://schemas.openxmlformats.org/markup-compatibility/2006">
    <mc:Choice Requires="x14">
      <controls>
        <mc:AlternateContent xmlns:mc="http://schemas.openxmlformats.org/markup-compatibility/2006">
          <mc:Choice Requires="x14">
            <control shapeId="1025" name="Check Box 1" r:id="rId3">
              <controlPr locked="0" defaultSize="0">
                <anchor moveWithCells="1">
                  <from>
                    <xdr:col>2</xdr:col>
                    <xdr:colOff>1257300</xdr:colOff>
                    <xdr:row>26</xdr:row>
                    <xdr:rowOff>66675</xdr:rowOff>
                  </from>
                  <to>
                    <xdr:col>3</xdr:col>
                    <xdr:colOff>238125</xdr:colOff>
                    <xdr:row>27</xdr:row>
                    <xdr:rowOff>28575</xdr:rowOff>
                  </to>
                </anchor>
              </controlPr>
            </control>
          </mc:Choice>
        </mc:AlternateContent>
        <mc:AlternateContent xmlns:mc="http://schemas.openxmlformats.org/markup-compatibility/2006">
          <mc:Choice Requires="x14">
            <control shapeId="1027" name="Check Box 3" r:id="rId4">
              <controlPr locked="0" defaultSize="0">
                <anchor moveWithCells="1">
                  <from>
                    <xdr:col>0</xdr:col>
                    <xdr:colOff>333375</xdr:colOff>
                    <xdr:row>27</xdr:row>
                    <xdr:rowOff>38100</xdr:rowOff>
                  </from>
                  <to>
                    <xdr:col>0</xdr:col>
                    <xdr:colOff>723900</xdr:colOff>
                    <xdr:row>28</xdr:row>
                    <xdr:rowOff>66675</xdr:rowOff>
                  </to>
                </anchor>
              </controlPr>
            </control>
          </mc:Choice>
        </mc:AlternateContent>
        <mc:AlternateContent xmlns:mc="http://schemas.openxmlformats.org/markup-compatibility/2006">
          <mc:Choice Requires="x14">
            <control shapeId="1028" name="Check Box 4" r:id="rId5">
              <controlPr locked="0" defaultSize="0">
                <anchor moveWithCells="1">
                  <from>
                    <xdr:col>1</xdr:col>
                    <xdr:colOff>495300</xdr:colOff>
                    <xdr:row>27</xdr:row>
                    <xdr:rowOff>38100</xdr:rowOff>
                  </from>
                  <to>
                    <xdr:col>2</xdr:col>
                    <xdr:colOff>0</xdr:colOff>
                    <xdr:row>28</xdr:row>
                    <xdr:rowOff>38100</xdr:rowOff>
                  </to>
                </anchor>
              </controlPr>
            </control>
          </mc:Choice>
        </mc:AlternateContent>
        <mc:AlternateContent xmlns:mc="http://schemas.openxmlformats.org/markup-compatibility/2006">
          <mc:Choice Requires="x14">
            <control shapeId="1029" name="Check Box 5" r:id="rId6">
              <controlPr locked="0" defaultSize="0">
                <anchor moveWithCells="1">
                  <from>
                    <xdr:col>2</xdr:col>
                    <xdr:colOff>676275</xdr:colOff>
                    <xdr:row>27</xdr:row>
                    <xdr:rowOff>104775</xdr:rowOff>
                  </from>
                  <to>
                    <xdr:col>2</xdr:col>
                    <xdr:colOff>904875</xdr:colOff>
                    <xdr:row>27</xdr:row>
                    <xdr:rowOff>314325</xdr:rowOff>
                  </to>
                </anchor>
              </controlPr>
            </control>
          </mc:Choice>
        </mc:AlternateContent>
        <mc:AlternateContent xmlns:mc="http://schemas.openxmlformats.org/markup-compatibility/2006">
          <mc:Choice Requires="x14">
            <control shapeId="1030" name="Check Box 6" r:id="rId7">
              <controlPr locked="0" defaultSize="0">
                <anchor moveWithCells="1">
                  <from>
                    <xdr:col>1</xdr:col>
                    <xdr:colOff>266700</xdr:colOff>
                    <xdr:row>32</xdr:row>
                    <xdr:rowOff>28575</xdr:rowOff>
                  </from>
                  <to>
                    <xdr:col>1</xdr:col>
                    <xdr:colOff>704850</xdr:colOff>
                    <xdr:row>33</xdr:row>
                    <xdr:rowOff>19050</xdr:rowOff>
                  </to>
                </anchor>
              </controlPr>
            </control>
          </mc:Choice>
        </mc:AlternateContent>
        <mc:AlternateContent xmlns:mc="http://schemas.openxmlformats.org/markup-compatibility/2006">
          <mc:Choice Requires="x14">
            <control shapeId="1031" name="Check Box 7" r:id="rId8">
              <controlPr locked="0" defaultSize="0">
                <anchor moveWithCells="1">
                  <from>
                    <xdr:col>0</xdr:col>
                    <xdr:colOff>866775</xdr:colOff>
                    <xdr:row>28</xdr:row>
                    <xdr:rowOff>47625</xdr:rowOff>
                  </from>
                  <to>
                    <xdr:col>1</xdr:col>
                    <xdr:colOff>0</xdr:colOff>
                    <xdr:row>28</xdr:row>
                    <xdr:rowOff>342900</xdr:rowOff>
                  </to>
                </anchor>
              </controlPr>
            </control>
          </mc:Choice>
        </mc:AlternateContent>
        <mc:AlternateContent xmlns:mc="http://schemas.openxmlformats.org/markup-compatibility/2006">
          <mc:Choice Requires="x14">
            <control shapeId="1032" name="Check Box 8" r:id="rId9">
              <controlPr locked="0" defaultSize="0">
                <anchor moveWithCells="1">
                  <from>
                    <xdr:col>0</xdr:col>
                    <xdr:colOff>76200</xdr:colOff>
                    <xdr:row>31</xdr:row>
                    <xdr:rowOff>209550</xdr:rowOff>
                  </from>
                  <to>
                    <xdr:col>0</xdr:col>
                    <xdr:colOff>552450</xdr:colOff>
                    <xdr:row>33</xdr:row>
                    <xdr:rowOff>57150</xdr:rowOff>
                  </to>
                </anchor>
              </controlPr>
            </control>
          </mc:Choice>
        </mc:AlternateContent>
        <mc:AlternateContent xmlns:mc="http://schemas.openxmlformats.org/markup-compatibility/2006">
          <mc:Choice Requires="x14">
            <control shapeId="1033" name="Check Box 9" r:id="rId10">
              <controlPr locked="0" defaultSize="0">
                <anchor moveWithCells="1">
                  <from>
                    <xdr:col>2</xdr:col>
                    <xdr:colOff>266700</xdr:colOff>
                    <xdr:row>28</xdr:row>
                    <xdr:rowOff>66675</xdr:rowOff>
                  </from>
                  <to>
                    <xdr:col>2</xdr:col>
                    <xdr:colOff>571500</xdr:colOff>
                    <xdr:row>28</xdr:row>
                    <xdr:rowOff>314325</xdr:rowOff>
                  </to>
                </anchor>
              </controlPr>
            </control>
          </mc:Choice>
        </mc:AlternateContent>
        <mc:AlternateContent xmlns:mc="http://schemas.openxmlformats.org/markup-compatibility/2006">
          <mc:Choice Requires="x14">
            <control shapeId="1034" name="Check Box 10" r:id="rId11">
              <controlPr locked="0" defaultSize="0">
                <anchor moveWithCells="1">
                  <from>
                    <xdr:col>2</xdr:col>
                    <xdr:colOff>552450</xdr:colOff>
                    <xdr:row>32</xdr:row>
                    <xdr:rowOff>0</xdr:rowOff>
                  </from>
                  <to>
                    <xdr:col>2</xdr:col>
                    <xdr:colOff>876300</xdr:colOff>
                    <xdr:row>33</xdr:row>
                    <xdr:rowOff>19050</xdr:rowOff>
                  </to>
                </anchor>
              </controlPr>
            </control>
          </mc:Choice>
        </mc:AlternateContent>
        <mc:AlternateContent xmlns:mc="http://schemas.openxmlformats.org/markup-compatibility/2006">
          <mc:Choice Requires="x14">
            <control shapeId="1035" name="Check Box 11" r:id="rId12">
              <controlPr locked="0" defaultSize="0">
                <anchor moveWithCells="1">
                  <from>
                    <xdr:col>4</xdr:col>
                    <xdr:colOff>561975</xdr:colOff>
                    <xdr:row>22</xdr:row>
                    <xdr:rowOff>28575</xdr:rowOff>
                  </from>
                  <to>
                    <xdr:col>5</xdr:col>
                    <xdr:colOff>314325</xdr:colOff>
                    <xdr:row>23</xdr:row>
                    <xdr:rowOff>9525</xdr:rowOff>
                  </to>
                </anchor>
              </controlPr>
            </control>
          </mc:Choice>
        </mc:AlternateContent>
        <mc:AlternateContent xmlns:mc="http://schemas.openxmlformats.org/markup-compatibility/2006">
          <mc:Choice Requires="x14">
            <control shapeId="1036" name="Check Box 12" r:id="rId13">
              <controlPr locked="0" defaultSize="0">
                <anchor moveWithCells="1">
                  <from>
                    <xdr:col>6</xdr:col>
                    <xdr:colOff>371475</xdr:colOff>
                    <xdr:row>22</xdr:row>
                    <xdr:rowOff>47625</xdr:rowOff>
                  </from>
                  <to>
                    <xdr:col>6</xdr:col>
                    <xdr:colOff>676275</xdr:colOff>
                    <xdr:row>23</xdr:row>
                    <xdr:rowOff>28575</xdr:rowOff>
                  </to>
                </anchor>
              </controlPr>
            </control>
          </mc:Choice>
        </mc:AlternateContent>
        <mc:AlternateContent xmlns:mc="http://schemas.openxmlformats.org/markup-compatibility/2006">
          <mc:Choice Requires="x14">
            <control shapeId="1037" name="Check Box 13" r:id="rId14">
              <controlPr locked="0" defaultSize="0">
                <anchor moveWithCells="1">
                  <from>
                    <xdr:col>5</xdr:col>
                    <xdr:colOff>1028700</xdr:colOff>
                    <xdr:row>23</xdr:row>
                    <xdr:rowOff>28575</xdr:rowOff>
                  </from>
                  <to>
                    <xdr:col>6</xdr:col>
                    <xdr:colOff>314325</xdr:colOff>
                    <xdr:row>24</xdr:row>
                    <xdr:rowOff>38100</xdr:rowOff>
                  </to>
                </anchor>
              </controlPr>
            </control>
          </mc:Choice>
        </mc:AlternateContent>
        <mc:AlternateContent xmlns:mc="http://schemas.openxmlformats.org/markup-compatibility/2006">
          <mc:Choice Requires="x14">
            <control shapeId="1038" name="Check Box 14" r:id="rId15">
              <controlPr locked="0" defaultSize="0">
                <anchor moveWithCells="1">
                  <from>
                    <xdr:col>6</xdr:col>
                    <xdr:colOff>981075</xdr:colOff>
                    <xdr:row>23</xdr:row>
                    <xdr:rowOff>28575</xdr:rowOff>
                  </from>
                  <to>
                    <xdr:col>7</xdr:col>
                    <xdr:colOff>333375</xdr:colOff>
                    <xdr:row>23</xdr:row>
                    <xdr:rowOff>352425</xdr:rowOff>
                  </to>
                </anchor>
              </controlPr>
            </control>
          </mc:Choice>
        </mc:AlternateContent>
        <mc:AlternateContent xmlns:mc="http://schemas.openxmlformats.org/markup-compatibility/2006">
          <mc:Choice Requires="x14">
            <control shapeId="1094" name="Check Box 70" r:id="rId16">
              <controlPr locked="0" defaultSize="0">
                <anchor moveWithCells="1">
                  <from>
                    <xdr:col>1</xdr:col>
                    <xdr:colOff>1076325</xdr:colOff>
                    <xdr:row>25</xdr:row>
                    <xdr:rowOff>352425</xdr:rowOff>
                  </from>
                  <to>
                    <xdr:col>2</xdr:col>
                    <xdr:colOff>457200</xdr:colOff>
                    <xdr:row>27</xdr:row>
                    <xdr:rowOff>9525</xdr:rowOff>
                  </to>
                </anchor>
              </controlPr>
            </control>
          </mc:Choice>
        </mc:AlternateContent>
        <mc:AlternateContent xmlns:mc="http://schemas.openxmlformats.org/markup-compatibility/2006">
          <mc:Choice Requires="x14">
            <control shapeId="1095" name="Check Box 71" r:id="rId17">
              <controlPr locked="0" defaultSize="0">
                <anchor moveWithCells="1">
                  <from>
                    <xdr:col>0</xdr:col>
                    <xdr:colOff>190500</xdr:colOff>
                    <xdr:row>26</xdr:row>
                    <xdr:rowOff>66675</xdr:rowOff>
                  </from>
                  <to>
                    <xdr:col>0</xdr:col>
                    <xdr:colOff>523875</xdr:colOff>
                    <xdr:row>27</xdr:row>
                    <xdr:rowOff>0</xdr:rowOff>
                  </to>
                </anchor>
              </controlPr>
            </control>
          </mc:Choice>
        </mc:AlternateContent>
        <mc:AlternateContent xmlns:mc="http://schemas.openxmlformats.org/markup-compatibility/2006">
          <mc:Choice Requires="x14">
            <control shapeId="1039" name="Check Box 15" r:id="rId18">
              <controlPr locked="0" defaultSize="0">
                <anchor moveWithCells="1">
                  <from>
                    <xdr:col>0</xdr:col>
                    <xdr:colOff>114300</xdr:colOff>
                    <xdr:row>13</xdr:row>
                    <xdr:rowOff>266700</xdr:rowOff>
                  </from>
                  <to>
                    <xdr:col>0</xdr:col>
                    <xdr:colOff>447675</xdr:colOff>
                    <xdr:row>15</xdr:row>
                    <xdr:rowOff>38100</xdr:rowOff>
                  </to>
                </anchor>
              </controlPr>
            </control>
          </mc:Choice>
        </mc:AlternateContent>
        <mc:AlternateContent xmlns:mc="http://schemas.openxmlformats.org/markup-compatibility/2006">
          <mc:Choice Requires="x14">
            <control shapeId="1041" name="Check Box 17" r:id="rId19">
              <controlPr locked="0" defaultSize="0">
                <anchor moveWithCells="1">
                  <from>
                    <xdr:col>1</xdr:col>
                    <xdr:colOff>1219200</xdr:colOff>
                    <xdr:row>13</xdr:row>
                    <xdr:rowOff>266700</xdr:rowOff>
                  </from>
                  <to>
                    <xdr:col>2</xdr:col>
                    <xdr:colOff>333375</xdr:colOff>
                    <xdr:row>15</xdr:row>
                    <xdr:rowOff>38100</xdr:rowOff>
                  </to>
                </anchor>
              </controlPr>
            </control>
          </mc:Choice>
        </mc:AlternateContent>
        <mc:AlternateContent xmlns:mc="http://schemas.openxmlformats.org/markup-compatibility/2006">
          <mc:Choice Requires="x14">
            <control shapeId="1042" name="Check Box 18" r:id="rId20">
              <controlPr locked="0" defaultSize="0">
                <anchor moveWithCells="1">
                  <from>
                    <xdr:col>4</xdr:col>
                    <xdr:colOff>38100</xdr:colOff>
                    <xdr:row>14</xdr:row>
                    <xdr:rowOff>0</xdr:rowOff>
                  </from>
                  <to>
                    <xdr:col>4</xdr:col>
                    <xdr:colOff>371475</xdr:colOff>
                    <xdr:row>15</xdr:row>
                    <xdr:rowOff>47625</xdr:rowOff>
                  </to>
                </anchor>
              </controlPr>
            </control>
          </mc:Choice>
        </mc:AlternateContent>
        <mc:AlternateContent xmlns:mc="http://schemas.openxmlformats.org/markup-compatibility/2006">
          <mc:Choice Requires="x14">
            <control shapeId="1043" name="Check Box 19" r:id="rId21">
              <controlPr locked="0" defaultSize="0">
                <anchor moveWithCells="1">
                  <from>
                    <xdr:col>4</xdr:col>
                    <xdr:colOff>19050</xdr:colOff>
                    <xdr:row>14</xdr:row>
                    <xdr:rowOff>219075</xdr:rowOff>
                  </from>
                  <to>
                    <xdr:col>4</xdr:col>
                    <xdr:colOff>342900</xdr:colOff>
                    <xdr:row>16</xdr:row>
                    <xdr:rowOff>38100</xdr:rowOff>
                  </to>
                </anchor>
              </controlPr>
            </control>
          </mc:Choice>
        </mc:AlternateContent>
        <mc:AlternateContent xmlns:mc="http://schemas.openxmlformats.org/markup-compatibility/2006">
          <mc:Choice Requires="x14">
            <control shapeId="1044" name="Check Box 20" r:id="rId22">
              <controlPr locked="0" defaultSize="0">
                <anchor moveWithCells="1">
                  <from>
                    <xdr:col>4</xdr:col>
                    <xdr:colOff>38100</xdr:colOff>
                    <xdr:row>15</xdr:row>
                    <xdr:rowOff>190500</xdr:rowOff>
                  </from>
                  <to>
                    <xdr:col>4</xdr:col>
                    <xdr:colOff>409575</xdr:colOff>
                    <xdr:row>17</xdr:row>
                    <xdr:rowOff>38100</xdr:rowOff>
                  </to>
                </anchor>
              </controlPr>
            </control>
          </mc:Choice>
        </mc:AlternateContent>
        <mc:AlternateContent xmlns:mc="http://schemas.openxmlformats.org/markup-compatibility/2006">
          <mc:Choice Requires="x14">
            <control shapeId="1045" name="Check Box 21" r:id="rId23">
              <controlPr locked="0" defaultSize="0">
                <anchor moveWithCells="1">
                  <from>
                    <xdr:col>4</xdr:col>
                    <xdr:colOff>19050</xdr:colOff>
                    <xdr:row>16</xdr:row>
                    <xdr:rowOff>219075</xdr:rowOff>
                  </from>
                  <to>
                    <xdr:col>4</xdr:col>
                    <xdr:colOff>342900</xdr:colOff>
                    <xdr:row>18</xdr:row>
                    <xdr:rowOff>38100</xdr:rowOff>
                  </to>
                </anchor>
              </controlPr>
            </control>
          </mc:Choice>
        </mc:AlternateContent>
        <mc:AlternateContent xmlns:mc="http://schemas.openxmlformats.org/markup-compatibility/2006">
          <mc:Choice Requires="x14">
            <control shapeId="1046" name="Check Box 22" r:id="rId24">
              <controlPr locked="0" defaultSize="0">
                <anchor moveWithCells="1">
                  <from>
                    <xdr:col>6</xdr:col>
                    <xdr:colOff>1104900</xdr:colOff>
                    <xdr:row>14</xdr:row>
                    <xdr:rowOff>28575</xdr:rowOff>
                  </from>
                  <to>
                    <xdr:col>7</xdr:col>
                    <xdr:colOff>123825</xdr:colOff>
                    <xdr:row>15</xdr:row>
                    <xdr:rowOff>76200</xdr:rowOff>
                  </to>
                </anchor>
              </controlPr>
            </control>
          </mc:Choice>
        </mc:AlternateContent>
        <mc:AlternateContent xmlns:mc="http://schemas.openxmlformats.org/markup-compatibility/2006">
          <mc:Choice Requires="x14">
            <control shapeId="1047" name="Check Box 23" r:id="rId25">
              <controlPr locked="0" defaultSize="0">
                <anchor moveWithCells="1">
                  <from>
                    <xdr:col>7</xdr:col>
                    <xdr:colOff>571500</xdr:colOff>
                    <xdr:row>14</xdr:row>
                    <xdr:rowOff>28575</xdr:rowOff>
                  </from>
                  <to>
                    <xdr:col>7</xdr:col>
                    <xdr:colOff>828675</xdr:colOff>
                    <xdr:row>15</xdr:row>
                    <xdr:rowOff>38100</xdr:rowOff>
                  </to>
                </anchor>
              </controlPr>
            </control>
          </mc:Choice>
        </mc:AlternateContent>
        <mc:AlternateContent xmlns:mc="http://schemas.openxmlformats.org/markup-compatibility/2006">
          <mc:Choice Requires="x14">
            <control shapeId="1048" name="Check Box 24" r:id="rId26">
              <controlPr locked="0" defaultSize="0">
                <anchor moveWithCells="1">
                  <from>
                    <xdr:col>8</xdr:col>
                    <xdr:colOff>180975</xdr:colOff>
                    <xdr:row>14</xdr:row>
                    <xdr:rowOff>28575</xdr:rowOff>
                  </from>
                  <to>
                    <xdr:col>8</xdr:col>
                    <xdr:colOff>485775</xdr:colOff>
                    <xdr:row>15</xdr:row>
                    <xdr:rowOff>38100</xdr:rowOff>
                  </to>
                </anchor>
              </controlPr>
            </control>
          </mc:Choice>
        </mc:AlternateContent>
        <mc:AlternateContent xmlns:mc="http://schemas.openxmlformats.org/markup-compatibility/2006">
          <mc:Choice Requires="x14">
            <control shapeId="1049" name="Check Box 25" r:id="rId27">
              <controlPr locked="0" defaultSize="0">
                <anchor moveWithCells="1">
                  <from>
                    <xdr:col>6</xdr:col>
                    <xdr:colOff>809625</xdr:colOff>
                    <xdr:row>15</xdr:row>
                    <xdr:rowOff>38100</xdr:rowOff>
                  </from>
                  <to>
                    <xdr:col>6</xdr:col>
                    <xdr:colOff>1114425</xdr:colOff>
                    <xdr:row>16</xdr:row>
                    <xdr:rowOff>47625</xdr:rowOff>
                  </to>
                </anchor>
              </controlPr>
            </control>
          </mc:Choice>
        </mc:AlternateContent>
        <mc:AlternateContent xmlns:mc="http://schemas.openxmlformats.org/markup-compatibility/2006">
          <mc:Choice Requires="x14">
            <control shapeId="1050" name="Check Box 26" r:id="rId28">
              <controlPr locked="0" defaultSize="0">
                <anchor moveWithCells="1">
                  <from>
                    <xdr:col>7</xdr:col>
                    <xdr:colOff>266700</xdr:colOff>
                    <xdr:row>15</xdr:row>
                    <xdr:rowOff>28575</xdr:rowOff>
                  </from>
                  <to>
                    <xdr:col>7</xdr:col>
                    <xdr:colOff>504825</xdr:colOff>
                    <xdr:row>16</xdr:row>
                    <xdr:rowOff>38100</xdr:rowOff>
                  </to>
                </anchor>
              </controlPr>
            </control>
          </mc:Choice>
        </mc:AlternateContent>
        <mc:AlternateContent xmlns:mc="http://schemas.openxmlformats.org/markup-compatibility/2006">
          <mc:Choice Requires="x14">
            <control shapeId="1051" name="Check Box 27" r:id="rId29">
              <controlPr locked="0" defaultSize="0">
                <anchor moveWithCells="1">
                  <from>
                    <xdr:col>7</xdr:col>
                    <xdr:colOff>981075</xdr:colOff>
                    <xdr:row>15</xdr:row>
                    <xdr:rowOff>28575</xdr:rowOff>
                  </from>
                  <to>
                    <xdr:col>8</xdr:col>
                    <xdr:colOff>66675</xdr:colOff>
                    <xdr:row>16</xdr:row>
                    <xdr:rowOff>66675</xdr:rowOff>
                  </to>
                </anchor>
              </controlPr>
            </control>
          </mc:Choice>
        </mc:AlternateContent>
        <mc:AlternateContent xmlns:mc="http://schemas.openxmlformats.org/markup-compatibility/2006">
          <mc:Choice Requires="x14">
            <control shapeId="1052" name="Check Box 28" r:id="rId30">
              <controlPr locked="0" defaultSize="0">
                <anchor moveWithCells="1">
                  <from>
                    <xdr:col>8</xdr:col>
                    <xdr:colOff>333375</xdr:colOff>
                    <xdr:row>15</xdr:row>
                    <xdr:rowOff>28575</xdr:rowOff>
                  </from>
                  <to>
                    <xdr:col>8</xdr:col>
                    <xdr:colOff>600075</xdr:colOff>
                    <xdr:row>16</xdr:row>
                    <xdr:rowOff>66675</xdr:rowOff>
                  </to>
                </anchor>
              </controlPr>
            </control>
          </mc:Choice>
        </mc:AlternateContent>
        <mc:AlternateContent xmlns:mc="http://schemas.openxmlformats.org/markup-compatibility/2006">
          <mc:Choice Requires="x14">
            <control shapeId="1053" name="Check Box 29" r:id="rId31">
              <controlPr locked="0" defaultSize="0">
                <anchor moveWithCells="1">
                  <from>
                    <xdr:col>8</xdr:col>
                    <xdr:colOff>952500</xdr:colOff>
                    <xdr:row>15</xdr:row>
                    <xdr:rowOff>28575</xdr:rowOff>
                  </from>
                  <to>
                    <xdr:col>9</xdr:col>
                    <xdr:colOff>209550</xdr:colOff>
                    <xdr:row>16</xdr:row>
                    <xdr:rowOff>66675</xdr:rowOff>
                  </to>
                </anchor>
              </controlPr>
            </control>
          </mc:Choice>
        </mc:AlternateContent>
        <mc:AlternateContent xmlns:mc="http://schemas.openxmlformats.org/markup-compatibility/2006">
          <mc:Choice Requires="x14">
            <control shapeId="1054" name="Check Box 30" r:id="rId32">
              <controlPr locked="0" defaultSize="0">
                <anchor moveWithCells="1">
                  <from>
                    <xdr:col>0</xdr:col>
                    <xdr:colOff>104775</xdr:colOff>
                    <xdr:row>14</xdr:row>
                    <xdr:rowOff>276225</xdr:rowOff>
                  </from>
                  <to>
                    <xdr:col>0</xdr:col>
                    <xdr:colOff>428625</xdr:colOff>
                    <xdr:row>16</xdr:row>
                    <xdr:rowOff>104775</xdr:rowOff>
                  </to>
                </anchor>
              </controlPr>
            </control>
          </mc:Choice>
        </mc:AlternateContent>
        <mc:AlternateContent xmlns:mc="http://schemas.openxmlformats.org/markup-compatibility/2006">
          <mc:Choice Requires="x14">
            <control shapeId="1057" name="Check Box 33" r:id="rId33">
              <controlPr locked="0" defaultSize="0">
                <anchor moveWithCells="1">
                  <from>
                    <xdr:col>0</xdr:col>
                    <xdr:colOff>104775</xdr:colOff>
                    <xdr:row>15</xdr:row>
                    <xdr:rowOff>295275</xdr:rowOff>
                  </from>
                  <to>
                    <xdr:col>0</xdr:col>
                    <xdr:colOff>428625</xdr:colOff>
                    <xdr:row>17</xdr:row>
                    <xdr:rowOff>114300</xdr:rowOff>
                  </to>
                </anchor>
              </controlPr>
            </control>
          </mc:Choice>
        </mc:AlternateContent>
        <mc:AlternateContent xmlns:mc="http://schemas.openxmlformats.org/markup-compatibility/2006">
          <mc:Choice Requires="x14">
            <control shapeId="1062" name="Check Box 38" r:id="rId34">
              <controlPr locked="0" defaultSize="0">
                <anchor moveWithCells="1">
                  <from>
                    <xdr:col>1</xdr:col>
                    <xdr:colOff>1219200</xdr:colOff>
                    <xdr:row>14</xdr:row>
                    <xdr:rowOff>266700</xdr:rowOff>
                  </from>
                  <to>
                    <xdr:col>2</xdr:col>
                    <xdr:colOff>276225</xdr:colOff>
                    <xdr:row>16</xdr:row>
                    <xdr:rowOff>85725</xdr:rowOff>
                  </to>
                </anchor>
              </controlPr>
            </control>
          </mc:Choice>
        </mc:AlternateContent>
        <mc:AlternateContent xmlns:mc="http://schemas.openxmlformats.org/markup-compatibility/2006">
          <mc:Choice Requires="x14">
            <control shapeId="1064" name="Check Box 40" r:id="rId35">
              <controlPr locked="0" defaultSize="0">
                <anchor moveWithCells="1">
                  <from>
                    <xdr:col>0</xdr:col>
                    <xdr:colOff>85725</xdr:colOff>
                    <xdr:row>16</xdr:row>
                    <xdr:rowOff>266700</xdr:rowOff>
                  </from>
                  <to>
                    <xdr:col>0</xdr:col>
                    <xdr:colOff>409575</xdr:colOff>
                    <xdr:row>18</xdr:row>
                    <xdr:rowOff>104775</xdr:rowOff>
                  </to>
                </anchor>
              </controlPr>
            </control>
          </mc:Choice>
        </mc:AlternateContent>
        <mc:AlternateContent xmlns:mc="http://schemas.openxmlformats.org/markup-compatibility/2006">
          <mc:Choice Requires="x14">
            <control shapeId="1076" name="Check Box 52" r:id="rId36">
              <controlPr locked="0" defaultSize="0">
                <anchor moveWithCells="1">
                  <from>
                    <xdr:col>10</xdr:col>
                    <xdr:colOff>19050</xdr:colOff>
                    <xdr:row>15</xdr:row>
                    <xdr:rowOff>19050</xdr:rowOff>
                  </from>
                  <to>
                    <xdr:col>10</xdr:col>
                    <xdr:colOff>314325</xdr:colOff>
                    <xdr:row>16</xdr:row>
                    <xdr:rowOff>28575</xdr:rowOff>
                  </to>
                </anchor>
              </controlPr>
            </control>
          </mc:Choice>
        </mc:AlternateContent>
        <mc:AlternateContent xmlns:mc="http://schemas.openxmlformats.org/markup-compatibility/2006">
          <mc:Choice Requires="x14">
            <control shapeId="1087" name="Check Box 63" r:id="rId37">
              <controlPr locked="0" defaultSize="0">
                <anchor moveWithCells="1">
                  <from>
                    <xdr:col>1</xdr:col>
                    <xdr:colOff>1209675</xdr:colOff>
                    <xdr:row>15</xdr:row>
                    <xdr:rowOff>257175</xdr:rowOff>
                  </from>
                  <to>
                    <xdr:col>2</xdr:col>
                    <xdr:colOff>266700</xdr:colOff>
                    <xdr:row>17</xdr:row>
                    <xdr:rowOff>76200</xdr:rowOff>
                  </to>
                </anchor>
              </controlPr>
            </control>
          </mc:Choice>
        </mc:AlternateContent>
        <mc:AlternateContent xmlns:mc="http://schemas.openxmlformats.org/markup-compatibility/2006">
          <mc:Choice Requires="x14">
            <control shapeId="1088" name="Check Box 64" r:id="rId38">
              <controlPr locked="0" defaultSize="0">
                <anchor moveWithCells="1">
                  <from>
                    <xdr:col>1</xdr:col>
                    <xdr:colOff>561975</xdr:colOff>
                    <xdr:row>16</xdr:row>
                    <xdr:rowOff>257175</xdr:rowOff>
                  </from>
                  <to>
                    <xdr:col>1</xdr:col>
                    <xdr:colOff>885825</xdr:colOff>
                    <xdr:row>18</xdr:row>
                    <xdr:rowOff>76200</xdr:rowOff>
                  </to>
                </anchor>
              </controlPr>
            </control>
          </mc:Choice>
        </mc:AlternateContent>
        <mc:AlternateContent xmlns:mc="http://schemas.openxmlformats.org/markup-compatibility/2006">
          <mc:Choice Requires="x14">
            <control shapeId="1089" name="Check Box 65" r:id="rId39">
              <controlPr locked="0" defaultSize="0">
                <anchor moveWithCells="1">
                  <from>
                    <xdr:col>10</xdr:col>
                    <xdr:colOff>581025</xdr:colOff>
                    <xdr:row>15</xdr:row>
                    <xdr:rowOff>38100</xdr:rowOff>
                  </from>
                  <to>
                    <xdr:col>10</xdr:col>
                    <xdr:colOff>876300</xdr:colOff>
                    <xdr:row>16</xdr:row>
                    <xdr:rowOff>66675</xdr:rowOff>
                  </to>
                </anchor>
              </controlPr>
            </control>
          </mc:Choice>
        </mc:AlternateContent>
        <mc:AlternateContent xmlns:mc="http://schemas.openxmlformats.org/markup-compatibility/2006">
          <mc:Choice Requires="x14">
            <control shapeId="1090" name="Check Box 66" r:id="rId40">
              <controlPr locked="0" defaultSize="0">
                <anchor moveWithCells="1">
                  <from>
                    <xdr:col>10</xdr:col>
                    <xdr:colOff>1133475</xdr:colOff>
                    <xdr:row>15</xdr:row>
                    <xdr:rowOff>38100</xdr:rowOff>
                  </from>
                  <to>
                    <xdr:col>11</xdr:col>
                    <xdr:colOff>304800</xdr:colOff>
                    <xdr:row>16</xdr:row>
                    <xdr:rowOff>76200</xdr:rowOff>
                  </to>
                </anchor>
              </controlPr>
            </control>
          </mc:Choice>
        </mc:AlternateContent>
        <mc:AlternateContent xmlns:mc="http://schemas.openxmlformats.org/markup-compatibility/2006">
          <mc:Choice Requires="x14">
            <control shapeId="1091" name="Check Box 67" r:id="rId41">
              <controlPr locked="0" defaultSize="0">
                <anchor moveWithCells="1">
                  <from>
                    <xdr:col>11</xdr:col>
                    <xdr:colOff>419100</xdr:colOff>
                    <xdr:row>15</xdr:row>
                    <xdr:rowOff>38100</xdr:rowOff>
                  </from>
                  <to>
                    <xdr:col>11</xdr:col>
                    <xdr:colOff>676275</xdr:colOff>
                    <xdr:row>16</xdr:row>
                    <xdr:rowOff>38100</xdr:rowOff>
                  </to>
                </anchor>
              </controlPr>
            </control>
          </mc:Choice>
        </mc:AlternateContent>
        <mc:AlternateContent xmlns:mc="http://schemas.openxmlformats.org/markup-compatibility/2006">
          <mc:Choice Requires="x14">
            <control shapeId="1092" name="Check Box 68" r:id="rId42">
              <controlPr locked="0" defaultSize="0">
                <anchor moveWithCells="1">
                  <from>
                    <xdr:col>12</xdr:col>
                    <xdr:colOff>333375</xdr:colOff>
                    <xdr:row>15</xdr:row>
                    <xdr:rowOff>28575</xdr:rowOff>
                  </from>
                  <to>
                    <xdr:col>12</xdr:col>
                    <xdr:colOff>561975</xdr:colOff>
                    <xdr:row>16</xdr:row>
                    <xdr:rowOff>28575</xdr:rowOff>
                  </to>
                </anchor>
              </controlPr>
            </control>
          </mc:Choice>
        </mc:AlternateContent>
        <mc:AlternateContent xmlns:mc="http://schemas.openxmlformats.org/markup-compatibility/2006">
          <mc:Choice Requires="x14">
            <control shapeId="1097" name="Check Box 73" r:id="rId43">
              <controlPr locked="0" defaultSize="0">
                <anchor moveWithCells="1">
                  <from>
                    <xdr:col>8</xdr:col>
                    <xdr:colOff>485775</xdr:colOff>
                    <xdr:row>30</xdr:row>
                    <xdr:rowOff>0</xdr:rowOff>
                  </from>
                  <to>
                    <xdr:col>9</xdr:col>
                    <xdr:colOff>0</xdr:colOff>
                    <xdr:row>31</xdr:row>
                    <xdr:rowOff>9525</xdr:rowOff>
                  </to>
                </anchor>
              </controlPr>
            </control>
          </mc:Choice>
        </mc:AlternateContent>
        <mc:AlternateContent xmlns:mc="http://schemas.openxmlformats.org/markup-compatibility/2006">
          <mc:Choice Requires="x14">
            <control shapeId="1099" name="Check Box 75" r:id="rId44">
              <controlPr locked="0" defaultSize="0">
                <anchor moveWithCells="1">
                  <from>
                    <xdr:col>10</xdr:col>
                    <xdr:colOff>657225</xdr:colOff>
                    <xdr:row>30</xdr:row>
                    <xdr:rowOff>0</xdr:rowOff>
                  </from>
                  <to>
                    <xdr:col>11</xdr:col>
                    <xdr:colOff>152400</xdr:colOff>
                    <xdr:row>31</xdr:row>
                    <xdr:rowOff>9525</xdr:rowOff>
                  </to>
                </anchor>
              </controlPr>
            </control>
          </mc:Choice>
        </mc:AlternateContent>
        <mc:AlternateContent xmlns:mc="http://schemas.openxmlformats.org/markup-compatibility/2006">
          <mc:Choice Requires="x14">
            <control shapeId="1100" name="Check Box 76" r:id="rId45">
              <controlPr locked="0" defaultSize="0">
                <anchor moveWithCells="1">
                  <from>
                    <xdr:col>7</xdr:col>
                    <xdr:colOff>981075</xdr:colOff>
                    <xdr:row>23</xdr:row>
                    <xdr:rowOff>28575</xdr:rowOff>
                  </from>
                  <to>
                    <xdr:col>8</xdr:col>
                    <xdr:colOff>371475</xdr:colOff>
                    <xdr:row>23</xdr:row>
                    <xdr:rowOff>352425</xdr:rowOff>
                  </to>
                </anchor>
              </controlPr>
            </control>
          </mc:Choice>
        </mc:AlternateContent>
        <mc:AlternateContent xmlns:mc="http://schemas.openxmlformats.org/markup-compatibility/2006">
          <mc:Choice Requires="x14">
            <control shapeId="1101" name="Check Box 77" r:id="rId46">
              <controlPr locked="0" defaultSize="0">
                <anchor moveWithCells="1">
                  <from>
                    <xdr:col>9</xdr:col>
                    <xdr:colOff>180975</xdr:colOff>
                    <xdr:row>14</xdr:row>
                    <xdr:rowOff>28575</xdr:rowOff>
                  </from>
                  <to>
                    <xdr:col>9</xdr:col>
                    <xdr:colOff>485775</xdr:colOff>
                    <xdr:row>15</xdr:row>
                    <xdr:rowOff>38100</xdr:rowOff>
                  </to>
                </anchor>
              </controlPr>
            </control>
          </mc:Choice>
        </mc:AlternateContent>
        <mc:AlternateContent xmlns:mc="http://schemas.openxmlformats.org/markup-compatibility/2006">
          <mc:Choice Requires="x14">
            <control shapeId="1102" name="Check Box 78" r:id="rId47">
              <controlPr locked="0" defaultSize="0">
                <anchor moveWithCells="1">
                  <from>
                    <xdr:col>9</xdr:col>
                    <xdr:colOff>619125</xdr:colOff>
                    <xdr:row>15</xdr:row>
                    <xdr:rowOff>9525</xdr:rowOff>
                  </from>
                  <to>
                    <xdr:col>9</xdr:col>
                    <xdr:colOff>942975</xdr:colOff>
                    <xdr:row>16</xdr:row>
                    <xdr:rowOff>38100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Feuil1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Josette Dufour</dc:creator>
  <cp:lastModifiedBy>LEKA H BONORO</cp:lastModifiedBy>
  <dcterms:created xsi:type="dcterms:W3CDTF">2012-08-09T05:17:00Z</dcterms:created>
  <cp:lastPrinted>2023-10-05T02:52:00Z</cp:lastPrinted>
  <dcterms:modified xsi:type="dcterms:W3CDTF">2025-07-09T06:18:11Z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9F32C5A00B27452F996037189CDD8AE0_13</vt:lpwstr>
  </property>
  <property fmtid="{D5CDD505-2E9C-101B-9397-08002B2CF9AE}" pid="3" name="KSOProductBuildVer">
    <vt:lpwstr>1033-12.2.0.21546</vt:lpwstr>
  </property>
</Properties>
</file>
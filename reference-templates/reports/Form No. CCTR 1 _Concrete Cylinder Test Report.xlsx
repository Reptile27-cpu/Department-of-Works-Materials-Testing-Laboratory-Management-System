
<file path=[Content_Types].xml><?xml version="1.0" encoding="utf-8"?>
<Types xmlns="http://schemas.openxmlformats.org/package/2006/content-types">
  <Default Extension="wmf" ContentType="image/x-wm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tabRatio="601" activeTab="1"/>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s>
  <definedNames>
    <definedName name="_xlnm.Print_Area" localSheetId="1">Sheet2!$A$1:$R$41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<sst xmlns="http://schemas.openxmlformats.org/spreadsheetml/2006/main" count="124" uniqueCount="104">
  <si>
    <t>DEPARTMENT OF TRANSPORT AND WORKS</t>
  </si>
  <si>
    <t>Job No:</t>
  </si>
  <si>
    <t>OFFICE OF WORKS</t>
  </si>
  <si>
    <t>SCIENCE AND TECHNOLOGY BRANCH - MTL</t>
  </si>
  <si>
    <t>File No:</t>
  </si>
  <si>
    <t>P O BOX 1261, LAE</t>
  </si>
  <si>
    <t>PH:  473 4101</t>
  </si>
  <si>
    <t>FAX: 472 3285</t>
  </si>
  <si>
    <t>Page      of</t>
  </si>
  <si>
    <t>SUMMARY OF 5 POINT CBR TEST RESULTS - CORONOUS</t>
  </si>
  <si>
    <t>CLIENT:</t>
  </si>
  <si>
    <t>PROJECT :</t>
  </si>
  <si>
    <t>PROCEDURE:</t>
  </si>
  <si>
    <t>Q113B - 1993 &amp; AS1289.2.1.1</t>
  </si>
  <si>
    <t xml:space="preserve">DATE: </t>
  </si>
  <si>
    <t>Lab./Sample ID #</t>
  </si>
  <si>
    <t>CBR NO:</t>
  </si>
  <si>
    <t>MC (%)</t>
  </si>
  <si>
    <t>DRY DENSITY</t>
  </si>
  <si>
    <t>CBR (%)</t>
  </si>
  <si>
    <t>(t/m3)</t>
  </si>
  <si>
    <t>REMARKS:</t>
  </si>
  <si>
    <t>APPROVED SIGNATORY</t>
  </si>
  <si>
    <t xml:space="preserve">REPORT NO: </t>
  </si>
  <si>
    <t>22P-115</t>
  </si>
  <si>
    <t>FILE NO.:</t>
  </si>
  <si>
    <t>42 - 60 - C32</t>
  </si>
  <si>
    <r>
      <rPr>
        <sz val="10"/>
        <rFont val="Arial"/>
        <charset val="134"/>
      </rPr>
      <t>Page     1</t>
    </r>
    <r>
      <rPr>
        <b/>
        <sz val="10"/>
        <rFont val="Arial"/>
        <charset val="134"/>
      </rPr>
      <t xml:space="preserve"> </t>
    </r>
    <r>
      <rPr>
        <sz val="10"/>
        <rFont val="Arial"/>
        <charset val="134"/>
      </rPr>
      <t xml:space="preserve">  of    1</t>
    </r>
  </si>
  <si>
    <t>CONCRETE TEST REPORT - CYLINDER</t>
  </si>
  <si>
    <t xml:space="preserve">CLIENT: </t>
  </si>
  <si>
    <r>
      <t>REPORT TO:</t>
    </r>
    <r>
      <rPr>
        <b/>
        <sz val="10"/>
        <rFont val="DomCasual"/>
        <charset val="134"/>
      </rPr>
      <t xml:space="preserve"> </t>
    </r>
  </si>
  <si>
    <t xml:space="preserve">TESTED BY: </t>
  </si>
  <si>
    <t xml:space="preserve">PROJECT: </t>
  </si>
  <si>
    <t>ATTENTION:</t>
  </si>
  <si>
    <t xml:space="preserve">CHECKED BY: </t>
  </si>
  <si>
    <t>LOCATION:</t>
  </si>
  <si>
    <t>CONCRETE SUPPLIER: CLIENT</t>
  </si>
  <si>
    <t>DATE:  12/07/2022</t>
  </si>
  <si>
    <r>
      <t>PART OF STRUCTURE</t>
    </r>
    <r>
      <rPr>
        <b/>
        <sz val="10"/>
        <rFont val="DomCasual"/>
        <charset val="134"/>
      </rPr>
      <t xml:space="preserve">:  </t>
    </r>
  </si>
  <si>
    <t>3 of 3</t>
  </si>
  <si>
    <t>CONCRETE CYLINDERS SUPPLIED BY  (LAB STAFF)......CLIENT.</t>
  </si>
  <si>
    <t>Lab</t>
  </si>
  <si>
    <t>ID</t>
  </si>
  <si>
    <t>Dates</t>
  </si>
  <si>
    <t>Curing</t>
  </si>
  <si>
    <t>Age at</t>
  </si>
  <si>
    <t>Condition</t>
  </si>
  <si>
    <t>Diameter</t>
  </si>
  <si>
    <t>Height</t>
  </si>
  <si>
    <t>Area</t>
  </si>
  <si>
    <t>Density</t>
  </si>
  <si>
    <t>Max</t>
  </si>
  <si>
    <t>Compressive</t>
  </si>
  <si>
    <t>Target</t>
  </si>
  <si>
    <t>Slump</t>
  </si>
  <si>
    <t>Remarks</t>
  </si>
  <si>
    <t>No</t>
  </si>
  <si>
    <t>Marks</t>
  </si>
  <si>
    <t>Cast</t>
  </si>
  <si>
    <t>rec'd</t>
  </si>
  <si>
    <t>Tested</t>
  </si>
  <si>
    <t>Initial</t>
  </si>
  <si>
    <t>Moist</t>
  </si>
  <si>
    <t>test</t>
  </si>
  <si>
    <t>as rec'd</t>
  </si>
  <si>
    <t>Load</t>
  </si>
  <si>
    <t>Strength</t>
  </si>
  <si>
    <t>.</t>
  </si>
  <si>
    <t>(hrs)</t>
  </si>
  <si>
    <t>(days)</t>
  </si>
  <si>
    <t>(mm)</t>
  </si>
  <si>
    <t>(mm2)</t>
  </si>
  <si>
    <t>(kg/m3)</t>
  </si>
  <si>
    <t>(kN)</t>
  </si>
  <si>
    <t>(Mpa)</t>
  </si>
  <si>
    <t>(MPa)</t>
  </si>
  <si>
    <t>22-C-083</t>
  </si>
  <si>
    <t>1</t>
  </si>
  <si>
    <t>-</t>
  </si>
  <si>
    <t>ADG</t>
  </si>
  <si>
    <t>NP</t>
  </si>
  <si>
    <t>22-C-087</t>
  </si>
  <si>
    <t>2</t>
  </si>
  <si>
    <t>22-C-088</t>
  </si>
  <si>
    <t>3</t>
  </si>
  <si>
    <t>Remarks:</t>
  </si>
  <si>
    <t>QR / BAR CODE</t>
  </si>
  <si>
    <t>HERE</t>
  </si>
  <si>
    <t>NP - Not Provided</t>
  </si>
  <si>
    <t>Notes</t>
  </si>
  <si>
    <t xml:space="preserve">1. Condition as received: A - good, B - damaged, C - damp, D - Dry,  </t>
  </si>
  <si>
    <t xml:space="preserve">   E - rough end, F - non standard cylinder, G - Standard Cylinder</t>
  </si>
  <si>
    <t>2. All cylinders capped with a rubberised steel plate unless otherwise stated</t>
  </si>
  <si>
    <t>3. Curing zone - standard tropical unless otherwise noted</t>
  </si>
  <si>
    <t>4. Testing machine - 'A' GRADE in accordance with AS2193</t>
  </si>
  <si>
    <t xml:space="preserve">5. Compressive strength tests carried out in accordance with AS1012 Part 9 </t>
  </si>
  <si>
    <t xml:space="preserve">6. Weight per unit volume (density) tests carried out in accordance with AS1012 </t>
  </si>
  <si>
    <t xml:space="preserve">  APPROVED SIGNATORY</t>
  </si>
  <si>
    <t>Date: 12/07/2022</t>
  </si>
  <si>
    <t xml:space="preserve">   Part 12 section 1</t>
  </si>
  <si>
    <t>7. Slump test carried out in accordance with AS1012 Part 3 , Section 1</t>
  </si>
  <si>
    <t>Authorised by: AS(MST)</t>
  </si>
  <si>
    <t>Revised 28/03/2022 lhb</t>
  </si>
  <si>
    <t>Form No. CCTR-1</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</si>
</sst>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48">
    <font>
      <sz val="10"/>
      <name val="Arial"/>
      <charset val="134"/>
    </font>
    <font>
      <sz val="10"/>
      <name val="Arial"/>
      <charset val="134"/>
    </font>
    <font>
      <b/>
      <sz val="11"/>
      <name val="Arial"/>
      <charset val="134"/>
    </font>
    <font>
      <b/>
      <sz val="14"/>
      <name val="Arial"/>
      <charset val="134"/>
    </font>
    <font>
      <b/>
      <sz val="10"/>
      <name val="Arial"/>
      <charset val="134"/>
    </font>
    <font>
      <b/>
      <sz val="16"/>
      <name val="DomCasual"/>
      <charset val="134"/>
    </font>
    <font>
      <sz val="10"/>
      <name val="DomCasual"/>
      <charset val="134"/>
    </font>
    <font>
      <b/>
      <sz val="10"/>
      <name val="DomCasual"/>
      <charset val="134"/>
    </font>
    <font>
      <b/>
      <i/>
      <sz val="10"/>
      <name val="DomCasual"/>
      <charset val="134"/>
    </font>
    <font>
      <b/>
      <sz val="10"/>
      <name val="DomCasual"/>
      <charset val="134"/>
    </font>
    <font>
      <sz val="10"/>
      <name val="DomCasual"/>
      <charset val="134"/>
    </font>
    <font>
      <sz val="9"/>
      <name val="DomCasual"/>
      <charset val="134"/>
    </font>
    <font>
      <sz val="8"/>
      <name val="DomCasual"/>
      <charset val="134"/>
    </font>
    <font>
      <b/>
      <u/>
      <sz val="8"/>
      <name val="DomCasual"/>
      <charset val="134"/>
    </font>
    <font>
      <sz val="8"/>
      <name val="Arial"/>
      <charset val="134"/>
    </font>
    <font>
      <b/>
      <sz val="8"/>
      <name val="DomCasual"/>
      <charset val="134"/>
    </font>
    <font>
      <b/>
      <sz val="8"/>
      <name val="Arial"/>
      <charset val="134"/>
    </font>
    <font>
      <b/>
      <sz val="8"/>
      <name val="Batang"/>
      <charset val="134"/>
    </font>
    <font>
      <b/>
      <sz val="10"/>
      <name val="Arial"/>
      <charset val="134"/>
    </font>
    <font>
      <sz val="7"/>
      <color rgb="FF0000FF"/>
      <name val="Arial"/>
      <charset val="134"/>
    </font>
    <font>
      <i/>
      <sz val="8"/>
      <name val="Arial"/>
      <charset val="134"/>
    </font>
    <font>
      <b/>
      <sz val="9"/>
      <name val="Arial"/>
      <charset val="134"/>
    </font>
    <font>
      <b/>
      <sz val="9"/>
      <name val="DomCasual"/>
      <charset val="134"/>
    </font>
    <font>
      <b/>
      <sz val="12"/>
      <name val="Arial"/>
      <charset val="134"/>
    </font>
    <font>
      <sz val="10"/>
      <name val="Algerian"/>
      <charset val="134"/>
    </font>
    <font>
      <b/>
      <sz val="12"/>
      <name val="DomCasual"/>
      <charset val="134"/>
    </font>
    <font>
      <b/>
      <sz val="14"/>
      <name val="DomCasual"/>
      <charset val="134"/>
    </font>
    <font>
      <b/>
      <u/>
      <sz val="12"/>
      <name val="DomCasu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FF00"/>
        <bgColor indexed="64"/>
      </patternFill>
    </fill>
    <fill>
      <patternFill patternType="solid">
        <fgColor indexed="1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8">
    <border>
      <left/>
      <right/>
      <top/>
      <bottom/>
      <diagonal/>
    </border>
    <border>
      <left style="medium">
        <color auto="1"/>
      </left>
      <right/>
      <top style="medium">
        <color auto="1"/>
      </top>
      <bottom/>
      <diagonal/>
    </border>
    <border>
      <left/>
      <right style="thin">
        <color auto="1"/>
      </right>
      <top style="medium">
        <color auto="1"/>
      </top>
      <bottom/>
      <diagonal/>
    </border>
    <border>
      <left/>
      <right/>
      <top style="medium">
        <color auto="1"/>
      </top>
      <bottom/>
      <diagonal/>
    </border>
    <border>
      <left style="medium">
        <color auto="1"/>
      </left>
      <right/>
      <top/>
      <bottom/>
      <diagonal/>
    </border>
    <border>
      <left/>
      <right style="thin">
        <color auto="1"/>
      </right>
      <top/>
      <bottom/>
      <diagonal/>
    </border>
    <border>
      <left style="medium">
        <color auto="1"/>
      </left>
      <right/>
      <top/>
      <bottom style="thin">
        <color auto="1"/>
      </bottom>
      <diagonal/>
    </border>
    <border>
      <left/>
      <right style="thin">
        <color auto="1"/>
      </right>
      <top/>
      <bottom style="thin">
        <color auto="1"/>
      </bottom>
      <diagonal/>
    </border>
    <border>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style="thin">
        <color auto="1"/>
      </left>
      <right/>
      <top style="medium">
        <color auto="1"/>
      </top>
      <bottom/>
      <diagonal/>
    </border>
    <border>
      <left style="thin">
        <color auto="1"/>
      </left>
      <right/>
      <top/>
      <bottom style="thin">
        <color auto="1"/>
      </bottom>
      <diagonal/>
    </border>
    <border>
      <left style="thin">
        <color auto="1"/>
      </left>
      <right/>
      <top/>
      <bottom/>
      <diagonal/>
    </border>
    <border>
      <left style="thin">
        <color auto="1"/>
      </left>
      <right style="thin">
        <color auto="1"/>
      </right>
      <top style="thin">
        <color auto="1"/>
      </top>
      <bottom/>
      <diagonal/>
    </border>
    <border>
      <left/>
      <right/>
      <top style="thin">
        <color auto="1"/>
      </top>
      <bottom/>
      <diagonal/>
    </border>
    <border>
      <left style="thin">
        <color auto="1"/>
      </left>
      <right/>
      <top style="thin">
        <color auto="1"/>
      </top>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bottom/>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right style="medium">
        <color auto="1"/>
      </right>
      <top style="thin">
        <color auto="1"/>
      </top>
      <bottom/>
      <diagonal/>
    </border>
    <border>
      <left/>
      <right style="medium">
        <color auto="1"/>
      </right>
      <top style="thin">
        <color auto="1"/>
      </top>
      <bottom style="medium">
        <color auto="1"/>
      </bottom>
      <diagonal/>
    </border>
    <border>
      <left/>
      <right style="thick">
        <color auto="1"/>
      </right>
      <top/>
      <bottom style="thin">
        <color auto="1"/>
      </bottom>
      <diagonal/>
    </border>
    <border>
      <left/>
      <right style="thick">
        <color auto="1"/>
      </right>
      <top/>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8" fillId="0" borderId="0" applyFont="0" applyFill="0" applyBorder="0" applyAlignment="0" applyProtection="0">
      <alignment vertical="center"/>
    </xf>
    <xf numFmtId="44" fontId="28" fillId="0" borderId="0" applyFont="0" applyFill="0" applyBorder="0" applyAlignment="0" applyProtection="0">
      <alignment vertical="center"/>
    </xf>
    <xf numFmtId="9" fontId="28" fillId="0" borderId="0" applyFont="0" applyFill="0" applyBorder="0" applyAlignment="0" applyProtection="0">
      <alignment vertical="center"/>
    </xf>
    <xf numFmtId="177" fontId="28" fillId="0" borderId="0" applyFont="0" applyFill="0" applyBorder="0" applyAlignment="0" applyProtection="0">
      <alignment vertical="center"/>
    </xf>
    <xf numFmtId="42" fontId="28"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28" fillId="6" borderId="40"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41" applyNumberFormat="0" applyFill="0" applyAlignment="0" applyProtection="0">
      <alignment vertical="center"/>
    </xf>
    <xf numFmtId="0" fontId="35" fillId="0" borderId="41" applyNumberFormat="0" applyFill="0" applyAlignment="0" applyProtection="0">
      <alignment vertical="center"/>
    </xf>
    <xf numFmtId="0" fontId="36" fillId="0" borderId="42" applyNumberFormat="0" applyFill="0" applyAlignment="0" applyProtection="0">
      <alignment vertical="center"/>
    </xf>
    <xf numFmtId="0" fontId="36" fillId="0" borderId="0" applyNumberFormat="0" applyFill="0" applyBorder="0" applyAlignment="0" applyProtection="0">
      <alignment vertical="center"/>
    </xf>
    <xf numFmtId="0" fontId="37" fillId="7" borderId="43" applyNumberFormat="0" applyAlignment="0" applyProtection="0">
      <alignment vertical="center"/>
    </xf>
    <xf numFmtId="0" fontId="38" fillId="8" borderId="44" applyNumberFormat="0" applyAlignment="0" applyProtection="0">
      <alignment vertical="center"/>
    </xf>
    <xf numFmtId="0" fontId="39" fillId="8" borderId="43" applyNumberFormat="0" applyAlignment="0" applyProtection="0">
      <alignment vertical="center"/>
    </xf>
    <xf numFmtId="0" fontId="40" fillId="9" borderId="45" applyNumberFormat="0" applyAlignment="0" applyProtection="0">
      <alignment vertical="center"/>
    </xf>
    <xf numFmtId="0" fontId="41" fillId="0" borderId="46" applyNumberFormat="0" applyFill="0" applyAlignment="0" applyProtection="0">
      <alignment vertical="center"/>
    </xf>
    <xf numFmtId="0" fontId="42" fillId="0" borderId="47" applyNumberFormat="0" applyFill="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6" fillId="13" borderId="0" applyNumberFormat="0" applyBorder="0" applyAlignment="0" applyProtection="0">
      <alignment vertical="center"/>
    </xf>
    <xf numFmtId="0" fontId="47" fillId="14" borderId="0" applyNumberFormat="0" applyBorder="0" applyAlignment="0" applyProtection="0">
      <alignment vertical="center"/>
    </xf>
    <xf numFmtId="0" fontId="47" fillId="15" borderId="0" applyNumberFormat="0" applyBorder="0" applyAlignment="0" applyProtection="0">
      <alignment vertical="center"/>
    </xf>
    <xf numFmtId="0" fontId="46" fillId="16" borderId="0" applyNumberFormat="0" applyBorder="0" applyAlignment="0" applyProtection="0">
      <alignment vertical="center"/>
    </xf>
    <xf numFmtId="0" fontId="46" fillId="17" borderId="0" applyNumberFormat="0" applyBorder="0" applyAlignment="0" applyProtection="0">
      <alignment vertical="center"/>
    </xf>
    <xf numFmtId="0" fontId="47" fillId="18" borderId="0" applyNumberFormat="0" applyBorder="0" applyAlignment="0" applyProtection="0">
      <alignment vertical="center"/>
    </xf>
    <xf numFmtId="0" fontId="47" fillId="19"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7" fillId="22" borderId="0" applyNumberFormat="0" applyBorder="0" applyAlignment="0" applyProtection="0">
      <alignment vertical="center"/>
    </xf>
    <xf numFmtId="0" fontId="47"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7" fillId="26" borderId="0" applyNumberFormat="0" applyBorder="0" applyAlignment="0" applyProtection="0">
      <alignment vertical="center"/>
    </xf>
    <xf numFmtId="0" fontId="47"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7" fillId="30" borderId="0" applyNumberFormat="0" applyBorder="0" applyAlignment="0" applyProtection="0">
      <alignment vertical="center"/>
    </xf>
    <xf numFmtId="0" fontId="47" fillId="31" borderId="0" applyNumberFormat="0" applyBorder="0" applyAlignment="0" applyProtection="0">
      <alignment vertical="center"/>
    </xf>
    <xf numFmtId="0" fontId="46" fillId="32" borderId="0" applyNumberFormat="0" applyBorder="0" applyAlignment="0" applyProtection="0">
      <alignment vertical="center"/>
    </xf>
    <xf numFmtId="0" fontId="46" fillId="33" borderId="0" applyNumberFormat="0" applyBorder="0" applyAlignment="0" applyProtection="0">
      <alignment vertical="center"/>
    </xf>
    <xf numFmtId="0" fontId="47" fillId="34" borderId="0" applyNumberFormat="0" applyBorder="0" applyAlignment="0" applyProtection="0">
      <alignment vertical="center"/>
    </xf>
    <xf numFmtId="0" fontId="47" fillId="35" borderId="0" applyNumberFormat="0" applyBorder="0" applyAlignment="0" applyProtection="0">
      <alignment vertical="center"/>
    </xf>
    <xf numFmtId="0" fontId="46" fillId="36" borderId="0" applyNumberFormat="0" applyBorder="0" applyAlignment="0" applyProtection="0">
      <alignment vertical="center"/>
    </xf>
  </cellStyleXfs>
  <cellXfs count="234">
    <xf numFmtId="0" fontId="0" fillId="0" borderId="0" xfId="0"/>
    <xf numFmtId="0" fontId="1" fillId="2" borderId="0" xfId="0" applyFont="1" applyFill="1"/>
    <xf numFmtId="0" fontId="1" fillId="3" borderId="1" xfId="0" applyFont="1" applyFill="1" applyBorder="1"/>
    <xf numFmtId="0" fontId="1" fillId="3" borderId="2" xfId="0" applyFont="1" applyFill="1" applyBorder="1"/>
    <xf numFmtId="0" fontId="2" fillId="3" borderId="3" xfId="0" applyFont="1" applyFill="1" applyBorder="1" applyAlignment="1"/>
    <xf numFmtId="0" fontId="1" fillId="3" borderId="4" xfId="0" applyFont="1" applyFill="1" applyBorder="1"/>
    <xf numFmtId="0" fontId="1" fillId="3" borderId="5" xfId="0" applyFont="1" applyFill="1" applyBorder="1"/>
    <xf numFmtId="0" fontId="3" fillId="3" borderId="0" xfId="0" applyFont="1" applyFill="1" applyBorder="1" applyAlignment="1"/>
    <xf numFmtId="0" fontId="2" fillId="3" borderId="0" xfId="0" applyFont="1" applyFill="1" applyBorder="1" applyAlignment="1"/>
    <xf numFmtId="0" fontId="1" fillId="3" borderId="6" xfId="0" applyFont="1" applyFill="1" applyBorder="1"/>
    <xf numFmtId="0" fontId="1" fillId="3" borderId="7" xfId="0" applyFont="1" applyFill="1" applyBorder="1"/>
    <xf numFmtId="0" fontId="4" fillId="3" borderId="8" xfId="0" applyFont="1" applyFill="1" applyBorder="1" applyAlignment="1"/>
    <xf numFmtId="0" fontId="5" fillId="0" borderId="9" xfId="0" applyFont="1" applyBorder="1" applyAlignment="1">
      <alignment horizontal="center"/>
    </xf>
    <xf numFmtId="0" fontId="5" fillId="0" borderId="10" xfId="0" applyFont="1" applyBorder="1" applyAlignment="1">
      <alignment horizontal="center"/>
    </xf>
    <xf numFmtId="0" fontId="6" fillId="0" borderId="4" xfId="0" applyFont="1" applyBorder="1" applyAlignment="1">
      <alignment horizontal="left"/>
    </xf>
    <xf numFmtId="0" fontId="7" fillId="0" borderId="0" xfId="0" applyFont="1" applyBorder="1"/>
    <xf numFmtId="0" fontId="6" fillId="0" borderId="0" xfId="0" applyFont="1" applyBorder="1"/>
    <xf numFmtId="0" fontId="6" fillId="0" borderId="0" xfId="0" applyFont="1" applyBorder="1" applyAlignment="1">
      <alignment horizontal="left"/>
    </xf>
    <xf numFmtId="0" fontId="0" fillId="0" borderId="0" xfId="0" applyBorder="1"/>
    <xf numFmtId="0" fontId="8" fillId="0" borderId="0" xfId="0" applyFont="1" applyBorder="1"/>
    <xf numFmtId="0" fontId="9" fillId="0" borderId="6" xfId="0" applyFont="1" applyBorder="1" applyAlignment="1">
      <alignment horizontal="center"/>
    </xf>
    <xf numFmtId="0" fontId="6" fillId="0" borderId="8" xfId="0" applyFont="1" applyBorder="1" applyAlignment="1">
      <alignment horizontal="left"/>
    </xf>
    <xf numFmtId="0" fontId="9" fillId="0" borderId="8" xfId="0" applyFont="1" applyBorder="1"/>
    <xf numFmtId="0" fontId="6" fillId="0" borderId="11" xfId="0" applyFont="1" applyFill="1" applyBorder="1" applyAlignment="1">
      <alignment horizontal="center"/>
    </xf>
    <xf numFmtId="0" fontId="6" fillId="0" borderId="5" xfId="0" applyFont="1" applyFill="1" applyBorder="1" applyAlignment="1">
      <alignment horizontal="center"/>
    </xf>
    <xf numFmtId="0" fontId="6" fillId="0" borderId="8" xfId="0" applyFont="1" applyFill="1" applyBorder="1"/>
    <xf numFmtId="0" fontId="6" fillId="0" borderId="8" xfId="0" applyFont="1" applyFill="1" applyBorder="1" applyAlignment="1">
      <alignment horizontal="right"/>
    </xf>
    <xf numFmtId="0" fontId="6" fillId="0" borderId="7" xfId="0" applyFont="1" applyFill="1" applyBorder="1"/>
    <xf numFmtId="0" fontId="6" fillId="0" borderId="12" xfId="0" applyFont="1" applyFill="1" applyBorder="1" applyAlignment="1">
      <alignment horizontal="center"/>
    </xf>
    <xf numFmtId="0" fontId="6" fillId="0" borderId="13" xfId="0" applyFont="1" applyFill="1" applyBorder="1" applyAlignment="1">
      <alignment horizontal="center"/>
    </xf>
    <xf numFmtId="0" fontId="6" fillId="0" borderId="14" xfId="0" applyFont="1" applyFill="1" applyBorder="1" applyAlignment="1">
      <alignment horizontal="center"/>
    </xf>
    <xf numFmtId="0" fontId="6" fillId="0" borderId="7" xfId="0" applyFont="1" applyFill="1" applyBorder="1" applyAlignment="1">
      <alignment horizontal="center"/>
    </xf>
    <xf numFmtId="0" fontId="10" fillId="0" borderId="11" xfId="0" applyFont="1" applyBorder="1" applyAlignment="1">
      <alignment horizontal="center"/>
    </xf>
    <xf numFmtId="49" fontId="10" fillId="0" borderId="5" xfId="0" applyNumberFormat="1" applyFont="1" applyBorder="1" applyAlignment="1">
      <alignment horizontal="center"/>
    </xf>
    <xf numFmtId="58" fontId="11" fillId="0" borderId="5" xfId="0" applyNumberFormat="1" applyFont="1" applyBorder="1" applyAlignment="1">
      <alignment horizontal="center"/>
    </xf>
    <xf numFmtId="0" fontId="11" fillId="0" borderId="5" xfId="0" applyFont="1" applyBorder="1" applyAlignment="1">
      <alignment horizontal="center"/>
    </xf>
    <xf numFmtId="0" fontId="11" fillId="0" borderId="5" xfId="0" applyNumberFormat="1" applyFont="1" applyBorder="1" applyAlignment="1">
      <alignment horizontal="center"/>
    </xf>
    <xf numFmtId="49" fontId="10" fillId="2" borderId="5" xfId="0" applyNumberFormat="1" applyFont="1" applyFill="1" applyBorder="1" applyAlignment="1">
      <alignment horizontal="center"/>
    </xf>
    <xf numFmtId="0" fontId="11" fillId="2" borderId="5" xfId="0" applyFont="1" applyFill="1" applyBorder="1" applyAlignment="1">
      <alignment horizontal="center"/>
    </xf>
    <xf numFmtId="0" fontId="12" fillId="0" borderId="5" xfId="0" applyFont="1" applyBorder="1" applyAlignment="1">
      <alignment horizontal="center"/>
    </xf>
    <xf numFmtId="49" fontId="11" fillId="0" borderId="5" xfId="0" applyNumberFormat="1" applyFont="1" applyBorder="1" applyAlignment="1">
      <alignment horizontal="center"/>
    </xf>
    <xf numFmtId="58" fontId="10" fillId="0" borderId="5" xfId="0" applyNumberFormat="1" applyFont="1" applyBorder="1" applyAlignment="1">
      <alignment horizontal="center"/>
    </xf>
    <xf numFmtId="0" fontId="6" fillId="0" borderId="5" xfId="0" applyFont="1" applyBorder="1" applyAlignment="1">
      <alignment horizontal="center"/>
    </xf>
    <xf numFmtId="58" fontId="6" fillId="0" borderId="5" xfId="0" applyNumberFormat="1" applyFont="1" applyBorder="1" applyAlignment="1">
      <alignment horizontal="center"/>
    </xf>
    <xf numFmtId="0" fontId="10" fillId="0" borderId="5" xfId="0" applyFont="1" applyBorder="1" applyAlignment="1">
      <alignment horizontal="center"/>
    </xf>
    <xf numFmtId="0" fontId="11" fillId="0" borderId="0" xfId="0" applyFont="1" applyBorder="1" applyAlignment="1">
      <alignment horizontal="center"/>
    </xf>
    <xf numFmtId="0" fontId="10" fillId="0" borderId="15" xfId="0" applyFont="1" applyBorder="1" applyAlignment="1">
      <alignment horizontal="center"/>
    </xf>
    <xf numFmtId="58" fontId="6" fillId="0" borderId="15" xfId="0" applyNumberFormat="1" applyFont="1" applyBorder="1" applyAlignment="1">
      <alignment horizontal="center"/>
    </xf>
    <xf numFmtId="0" fontId="10" fillId="0" borderId="14" xfId="0" applyFont="1" applyBorder="1" applyAlignment="1">
      <alignment horizontal="center"/>
    </xf>
    <xf numFmtId="0" fontId="6" fillId="0" borderId="7" xfId="0" applyFont="1" applyBorder="1" applyAlignment="1">
      <alignment horizontal="center"/>
    </xf>
    <xf numFmtId="58" fontId="6" fillId="0" borderId="16" xfId="0" applyNumberFormat="1" applyFont="1" applyBorder="1" applyAlignment="1">
      <alignment horizontal="center"/>
    </xf>
    <xf numFmtId="58" fontId="11" fillId="0" borderId="16" xfId="0" applyNumberFormat="1" applyFont="1" applyBorder="1" applyAlignment="1">
      <alignment horizontal="center"/>
    </xf>
    <xf numFmtId="58" fontId="11" fillId="0" borderId="7" xfId="0" applyNumberFormat="1" applyFont="1" applyBorder="1" applyAlignment="1">
      <alignment horizontal="center"/>
    </xf>
    <xf numFmtId="0" fontId="0" fillId="0" borderId="8" xfId="0" applyBorder="1"/>
    <xf numFmtId="0" fontId="10" fillId="0" borderId="16" xfId="0" applyFont="1" applyBorder="1" applyAlignment="1">
      <alignment horizontal="center"/>
    </xf>
    <xf numFmtId="0" fontId="11" fillId="0" borderId="16" xfId="0" applyFont="1" applyBorder="1" applyAlignment="1">
      <alignment horizontal="center"/>
    </xf>
    <xf numFmtId="0" fontId="4" fillId="0" borderId="4" xfId="0" applyFont="1" applyBorder="1"/>
    <xf numFmtId="0" fontId="1" fillId="0" borderId="4" xfId="0" applyFont="1" applyFill="1" applyBorder="1"/>
    <xf numFmtId="0" fontId="0" fillId="0" borderId="0" xfId="0" applyFill="1" applyBorder="1"/>
    <xf numFmtId="0" fontId="0" fillId="0" borderId="4" xfId="0" applyBorder="1"/>
    <xf numFmtId="0" fontId="0" fillId="0" borderId="6" xfId="0" applyBorder="1"/>
    <xf numFmtId="0" fontId="13" fillId="0" borderId="4" xfId="0" applyFont="1" applyFill="1" applyBorder="1"/>
    <xf numFmtId="0" fontId="14" fillId="0" borderId="0" xfId="0" applyFont="1" applyFill="1" applyBorder="1"/>
    <xf numFmtId="0" fontId="12" fillId="0" borderId="0" xfId="0" applyFont="1" applyFill="1" applyBorder="1"/>
    <xf numFmtId="0" fontId="12" fillId="0" borderId="17" xfId="0" applyFont="1" applyFill="1" applyBorder="1"/>
    <xf numFmtId="0" fontId="15" fillId="0" borderId="4" xfId="0" applyFont="1" applyFill="1" applyBorder="1"/>
    <xf numFmtId="0" fontId="16" fillId="0" borderId="0" xfId="0" applyFont="1" applyFill="1" applyBorder="1"/>
    <xf numFmtId="0" fontId="15" fillId="0" borderId="0" xfId="0" applyFont="1" applyFill="1" applyBorder="1"/>
    <xf numFmtId="0" fontId="0" fillId="0" borderId="5" xfId="0" applyFill="1" applyBorder="1"/>
    <xf numFmtId="0" fontId="16" fillId="0" borderId="4" xfId="0" applyFont="1" applyFill="1" applyBorder="1"/>
    <xf numFmtId="0" fontId="15" fillId="0" borderId="4" xfId="0" applyFont="1" applyFill="1" applyBorder="1" applyAlignment="1">
      <alignment horizontal="left"/>
    </xf>
    <xf numFmtId="0" fontId="15" fillId="0" borderId="5" xfId="0" applyFont="1" applyFill="1" applyBorder="1"/>
    <xf numFmtId="0" fontId="17" fillId="0" borderId="4" xfId="0" applyFont="1" applyFill="1" applyBorder="1"/>
    <xf numFmtId="0" fontId="15" fillId="0" borderId="18" xfId="0" applyFont="1" applyFill="1" applyBorder="1" applyAlignment="1">
      <alignment horizontal="left"/>
    </xf>
    <xf numFmtId="0" fontId="14" fillId="0" borderId="19" xfId="0" applyFont="1" applyFill="1" applyBorder="1"/>
    <xf numFmtId="0" fontId="12" fillId="0" borderId="19" xfId="0" applyFont="1" applyFill="1" applyBorder="1"/>
    <xf numFmtId="0" fontId="0" fillId="0" borderId="19" xfId="0" applyFill="1" applyBorder="1"/>
    <xf numFmtId="0" fontId="2" fillId="3" borderId="2" xfId="0" applyFont="1" applyFill="1" applyBorder="1" applyAlignment="1"/>
    <xf numFmtId="0" fontId="0" fillId="0" borderId="3" xfId="0" applyBorder="1"/>
    <xf numFmtId="0" fontId="4" fillId="3" borderId="20" xfId="0" applyFont="1" applyFill="1" applyBorder="1"/>
    <xf numFmtId="0" fontId="3" fillId="3" borderId="5" xfId="0" applyFont="1" applyFill="1" applyBorder="1" applyAlignment="1"/>
    <xf numFmtId="0" fontId="1" fillId="3" borderId="21" xfId="0" applyFont="1" applyFill="1" applyBorder="1"/>
    <xf numFmtId="0" fontId="2" fillId="3" borderId="5" xfId="0" applyFont="1" applyFill="1" applyBorder="1" applyAlignment="1"/>
    <xf numFmtId="0" fontId="4" fillId="3" borderId="22" xfId="0" applyFont="1" applyFill="1" applyBorder="1"/>
    <xf numFmtId="0" fontId="4" fillId="3" borderId="7" xfId="0" applyFont="1" applyFill="1" applyBorder="1" applyAlignment="1"/>
    <xf numFmtId="0" fontId="1" fillId="3" borderId="21" xfId="0" applyFont="1" applyFill="1" applyBorder="1" applyAlignment="1">
      <alignment horizontal="left"/>
    </xf>
    <xf numFmtId="0" fontId="9" fillId="0" borderId="0" xfId="0" applyFont="1" applyBorder="1"/>
    <xf numFmtId="0" fontId="10" fillId="0" borderId="0" xfId="0" applyFont="1" applyBorder="1" applyAlignment="1">
      <alignment horizontal="left"/>
    </xf>
    <xf numFmtId="0" fontId="7" fillId="0" borderId="0" xfId="0" applyFont="1" applyBorder="1" applyAlignment="1">
      <alignment horizontal="left"/>
    </xf>
    <xf numFmtId="0" fontId="10" fillId="0" borderId="0" xfId="0" applyFont="1" applyBorder="1"/>
    <xf numFmtId="0" fontId="10" fillId="0" borderId="8" xfId="0" applyFont="1" applyBorder="1"/>
    <xf numFmtId="0" fontId="6" fillId="0" borderId="5" xfId="0" applyFont="1" applyFill="1" applyBorder="1"/>
    <xf numFmtId="0" fontId="10" fillId="0" borderId="5" xfId="0" applyFont="1" applyFill="1" applyBorder="1" applyAlignment="1">
      <alignment horizontal="center"/>
    </xf>
    <xf numFmtId="0" fontId="10" fillId="0" borderId="0" xfId="0" applyFont="1" applyFill="1" applyBorder="1" applyAlignment="1">
      <alignment horizontal="center"/>
    </xf>
    <xf numFmtId="0" fontId="10" fillId="0" borderId="23" xfId="0" applyFont="1" applyFill="1" applyBorder="1" applyAlignment="1">
      <alignment horizontal="center"/>
    </xf>
    <xf numFmtId="0" fontId="10" fillId="0" borderId="15" xfId="0" applyFont="1" applyFill="1" applyBorder="1" applyAlignment="1">
      <alignment horizontal="center"/>
    </xf>
    <xf numFmtId="0" fontId="6" fillId="0" borderId="7" xfId="0" applyFont="1" applyFill="1" applyBorder="1" applyAlignment="1">
      <alignment horizontal="left"/>
    </xf>
    <xf numFmtId="0" fontId="10" fillId="0" borderId="7" xfId="0" applyFont="1" applyFill="1" applyBorder="1" applyAlignment="1">
      <alignment horizontal="center"/>
    </xf>
    <xf numFmtId="0" fontId="10" fillId="0" borderId="8" xfId="0" applyFont="1" applyFill="1" applyBorder="1" applyAlignment="1">
      <alignment horizontal="center"/>
    </xf>
    <xf numFmtId="0" fontId="10" fillId="0" borderId="16" xfId="0" applyFont="1" applyFill="1" applyBorder="1" applyAlignment="1">
      <alignment horizontal="center"/>
    </xf>
    <xf numFmtId="178" fontId="10" fillId="0" borderId="5" xfId="0" applyNumberFormat="1" applyFont="1" applyBorder="1" applyAlignment="1">
      <alignment horizontal="center"/>
    </xf>
    <xf numFmtId="1" fontId="11" fillId="0" borderId="5" xfId="0" applyNumberFormat="1" applyFont="1" applyBorder="1" applyAlignment="1">
      <alignment horizontal="center"/>
    </xf>
    <xf numFmtId="178" fontId="10" fillId="0" borderId="0" xfId="0" applyNumberFormat="1" applyFont="1" applyBorder="1" applyAlignment="1">
      <alignment horizontal="center"/>
    </xf>
    <xf numFmtId="178" fontId="9" fillId="4" borderId="15" xfId="0" applyNumberFormat="1" applyFont="1" applyFill="1" applyBorder="1" applyAlignment="1">
      <alignment horizontal="center"/>
    </xf>
    <xf numFmtId="1" fontId="10" fillId="0" borderId="5" xfId="0" applyNumberFormat="1" applyFont="1" applyBorder="1" applyAlignment="1">
      <alignment horizontal="center"/>
    </xf>
    <xf numFmtId="178" fontId="10" fillId="2" borderId="5" xfId="0" applyNumberFormat="1" applyFont="1" applyFill="1" applyBorder="1" applyAlignment="1">
      <alignment horizontal="center"/>
    </xf>
    <xf numFmtId="0" fontId="10" fillId="2" borderId="5" xfId="0" applyFont="1" applyFill="1" applyBorder="1" applyAlignment="1">
      <alignment horizontal="center"/>
    </xf>
    <xf numFmtId="1" fontId="11" fillId="2" borderId="5" xfId="0" applyNumberFormat="1" applyFont="1" applyFill="1" applyBorder="1" applyAlignment="1">
      <alignment horizontal="center"/>
    </xf>
    <xf numFmtId="178" fontId="10" fillId="2" borderId="0" xfId="0" applyNumberFormat="1" applyFont="1" applyFill="1" applyBorder="1" applyAlignment="1">
      <alignment horizontal="center"/>
    </xf>
    <xf numFmtId="1" fontId="10" fillId="2" borderId="5" xfId="0" applyNumberFormat="1" applyFont="1" applyFill="1" applyBorder="1" applyAlignment="1">
      <alignment horizontal="center"/>
    </xf>
    <xf numFmtId="178" fontId="9" fillId="2" borderId="15" xfId="0" applyNumberFormat="1" applyFont="1" applyFill="1" applyBorder="1" applyAlignment="1">
      <alignment horizontal="center"/>
    </xf>
    <xf numFmtId="0" fontId="10" fillId="0" borderId="0" xfId="0" applyFont="1" applyBorder="1" applyAlignment="1">
      <alignment horizontal="center"/>
    </xf>
    <xf numFmtId="178" fontId="0" fillId="0" borderId="15" xfId="0" applyNumberFormat="1" applyBorder="1" applyAlignment="1">
      <alignment horizontal="center"/>
    </xf>
    <xf numFmtId="1" fontId="9" fillId="0" borderId="15" xfId="0" applyNumberFormat="1" applyFont="1" applyBorder="1" applyAlignment="1">
      <alignment horizontal="center"/>
    </xf>
    <xf numFmtId="178" fontId="0" fillId="0" borderId="15" xfId="0" applyNumberFormat="1" applyBorder="1"/>
    <xf numFmtId="1" fontId="9" fillId="0" borderId="5" xfId="0" applyNumberFormat="1" applyFont="1" applyBorder="1" applyAlignment="1">
      <alignment horizontal="center"/>
    </xf>
    <xf numFmtId="1" fontId="10" fillId="0" borderId="15" xfId="0" applyNumberFormat="1" applyFont="1" applyBorder="1" applyAlignment="1">
      <alignment horizontal="center"/>
    </xf>
    <xf numFmtId="0" fontId="0" fillId="0" borderId="22" xfId="0" applyBorder="1" applyAlignment="1">
      <alignment horizontal="center"/>
    </xf>
    <xf numFmtId="178" fontId="10" fillId="0" borderId="16" xfId="0" applyNumberFormat="1" applyFont="1" applyBorder="1" applyAlignment="1">
      <alignment horizontal="center"/>
    </xf>
    <xf numFmtId="0" fontId="0" fillId="0" borderId="16" xfId="0" applyBorder="1" applyAlignment="1">
      <alignment horizontal="center"/>
    </xf>
    <xf numFmtId="0" fontId="0" fillId="0" borderId="21" xfId="0" applyBorder="1" applyAlignment="1">
      <alignment horizontal="center"/>
    </xf>
    <xf numFmtId="178" fontId="0" fillId="0" borderId="16" xfId="0" applyNumberFormat="1" applyBorder="1"/>
    <xf numFmtId="1" fontId="9" fillId="0" borderId="7" xfId="0" applyNumberFormat="1" applyFont="1" applyBorder="1" applyAlignment="1">
      <alignment horizontal="center"/>
    </xf>
    <xf numFmtId="1" fontId="10" fillId="0" borderId="16" xfId="0" applyNumberFormat="1" applyFont="1" applyBorder="1" applyAlignment="1">
      <alignment horizontal="center"/>
    </xf>
    <xf numFmtId="0" fontId="18" fillId="4" borderId="24" xfId="0" applyFont="1" applyFill="1" applyBorder="1"/>
    <xf numFmtId="0" fontId="18" fillId="4" borderId="0" xfId="0" applyFont="1" applyFill="1" applyBorder="1"/>
    <xf numFmtId="0" fontId="0" fillId="4" borderId="0" xfId="0" applyFill="1" applyBorder="1"/>
    <xf numFmtId="0" fontId="0" fillId="0" borderId="25" xfId="0" applyBorder="1"/>
    <xf numFmtId="0" fontId="0" fillId="0" borderId="24" xfId="0" applyBorder="1"/>
    <xf numFmtId="0" fontId="18" fillId="4" borderId="0" xfId="0" applyFont="1" applyFill="1" applyBorder="1" applyAlignment="1">
      <alignment horizontal="right"/>
    </xf>
    <xf numFmtId="0" fontId="0" fillId="0" borderId="22" xfId="0" applyBorder="1"/>
    <xf numFmtId="0" fontId="19" fillId="0" borderId="0" xfId="0" applyFont="1" applyFill="1" applyBorder="1" applyAlignment="1">
      <alignment horizontal="left" readingOrder="1"/>
    </xf>
    <xf numFmtId="0" fontId="19" fillId="0" borderId="0" xfId="0" applyFont="1" applyBorder="1"/>
    <xf numFmtId="0" fontId="12" fillId="0" borderId="22" xfId="0" applyFont="1" applyFill="1" applyBorder="1"/>
    <xf numFmtId="0" fontId="0" fillId="0" borderId="22" xfId="0" applyFill="1" applyBorder="1"/>
    <xf numFmtId="0" fontId="14" fillId="0" borderId="22" xfId="0" applyFont="1" applyBorder="1"/>
    <xf numFmtId="0" fontId="15" fillId="0" borderId="21" xfId="0" applyFont="1" applyFill="1" applyBorder="1"/>
    <xf numFmtId="0" fontId="12" fillId="0" borderId="8" xfId="0" applyFont="1" applyFill="1" applyBorder="1"/>
    <xf numFmtId="0" fontId="15" fillId="0" borderId="8" xfId="0" applyFont="1" applyFill="1" applyBorder="1"/>
    <xf numFmtId="0" fontId="20" fillId="0" borderId="21" xfId="0" applyFont="1" applyBorder="1"/>
    <xf numFmtId="0" fontId="21" fillId="0" borderId="0" xfId="0" applyFont="1" applyBorder="1"/>
    <xf numFmtId="0" fontId="1" fillId="0" borderId="0" xfId="0" applyFont="1" applyBorder="1"/>
    <xf numFmtId="0" fontId="21" fillId="0" borderId="26" xfId="0" applyFont="1" applyBorder="1"/>
    <xf numFmtId="0" fontId="22" fillId="0" borderId="27" xfId="0" applyFont="1" applyBorder="1"/>
    <xf numFmtId="0" fontId="21" fillId="0" borderId="27" xfId="0" applyFont="1" applyBorder="1"/>
    <xf numFmtId="0" fontId="1" fillId="0" borderId="27" xfId="0" applyFont="1" applyBorder="1"/>
    <xf numFmtId="0" fontId="4" fillId="3" borderId="28" xfId="0" applyFont="1" applyFill="1" applyBorder="1" applyAlignment="1"/>
    <xf numFmtId="0" fontId="23" fillId="0" borderId="8" xfId="0" applyFont="1" applyBorder="1" applyAlignment="1">
      <alignment horizontal="center"/>
    </xf>
    <xf numFmtId="0" fontId="1" fillId="3" borderId="29" xfId="0" applyFont="1" applyFill="1" applyBorder="1"/>
    <xf numFmtId="0" fontId="1" fillId="3" borderId="30" xfId="0" applyFont="1" applyFill="1" applyBorder="1"/>
    <xf numFmtId="0" fontId="0" fillId="0" borderId="10" xfId="0" applyBorder="1"/>
    <xf numFmtId="0" fontId="0" fillId="0" borderId="31" xfId="0" applyBorder="1"/>
    <xf numFmtId="0" fontId="0" fillId="0" borderId="30" xfId="0" applyBorder="1"/>
    <xf numFmtId="0" fontId="24" fillId="0" borderId="0" xfId="0" applyFont="1" applyBorder="1"/>
    <xf numFmtId="0" fontId="0" fillId="0" borderId="32" xfId="0" applyBorder="1"/>
    <xf numFmtId="0" fontId="0" fillId="0" borderId="33" xfId="0" applyBorder="1"/>
    <xf numFmtId="0" fontId="0" fillId="0" borderId="34" xfId="0" applyBorder="1"/>
    <xf numFmtId="0" fontId="11" fillId="0" borderId="32" xfId="0" applyFont="1" applyBorder="1" applyAlignment="1">
      <alignment horizontal="center"/>
    </xf>
    <xf numFmtId="0" fontId="10" fillId="2" borderId="0" xfId="0" applyFont="1" applyFill="1" applyBorder="1" applyAlignment="1">
      <alignment horizontal="center"/>
    </xf>
    <xf numFmtId="0" fontId="11" fillId="2" borderId="33" xfId="0" applyFont="1" applyFill="1" applyBorder="1" applyAlignment="1">
      <alignment horizontal="center"/>
    </xf>
    <xf numFmtId="0" fontId="11" fillId="0" borderId="33" xfId="0" applyFont="1" applyBorder="1" applyAlignment="1">
      <alignment horizontal="center"/>
    </xf>
    <xf numFmtId="0" fontId="1" fillId="0" borderId="33" xfId="0" applyFont="1" applyBorder="1"/>
    <xf numFmtId="0" fontId="10" fillId="0" borderId="7" xfId="0" applyFont="1" applyBorder="1" applyAlignment="1">
      <alignment horizontal="center"/>
    </xf>
    <xf numFmtId="0" fontId="0" fillId="0" borderId="35" xfId="0" applyBorder="1"/>
    <xf numFmtId="0" fontId="0" fillId="0" borderId="29" xfId="0" applyBorder="1"/>
    <xf numFmtId="0" fontId="16" fillId="0" borderId="26" xfId="0" applyFont="1" applyBorder="1" applyAlignment="1">
      <alignment horizontal="left"/>
    </xf>
    <xf numFmtId="0" fontId="0" fillId="0" borderId="36" xfId="0" applyBorder="1" applyAlignment="1">
      <alignment horizontal="left"/>
    </xf>
    <xf numFmtId="0" fontId="10" fillId="0" borderId="1" xfId="0" applyFont="1" applyBorder="1"/>
    <xf numFmtId="0" fontId="10" fillId="0" borderId="2" xfId="0" applyFont="1" applyBorder="1"/>
    <xf numFmtId="0" fontId="25" fillId="0" borderId="3" xfId="0" applyFont="1" applyBorder="1"/>
    <xf numFmtId="0" fontId="25" fillId="0" borderId="3" xfId="0" applyFont="1" applyBorder="1" applyAlignment="1">
      <alignment horizontal="center"/>
    </xf>
    <xf numFmtId="0" fontId="25" fillId="0" borderId="2" xfId="0" applyFont="1" applyBorder="1"/>
    <xf numFmtId="0" fontId="9" fillId="0" borderId="28" xfId="0" applyFont="1" applyBorder="1"/>
    <xf numFmtId="0" fontId="10" fillId="0" borderId="4" xfId="0" applyFont="1" applyBorder="1"/>
    <xf numFmtId="0" fontId="10" fillId="0" borderId="5" xfId="0" applyFont="1" applyBorder="1"/>
    <xf numFmtId="0" fontId="25" fillId="0" borderId="0" xfId="0" applyFont="1" applyBorder="1"/>
    <xf numFmtId="0" fontId="25" fillId="0" borderId="0" xfId="0" applyFont="1" applyBorder="1" applyAlignment="1">
      <alignment horizontal="center"/>
    </xf>
    <xf numFmtId="0" fontId="25" fillId="0" borderId="5" xfId="0" applyFont="1" applyBorder="1"/>
    <xf numFmtId="0" fontId="9" fillId="0" borderId="29" xfId="0" applyFont="1" applyBorder="1"/>
    <xf numFmtId="0" fontId="9" fillId="0" borderId="30" xfId="0" applyFont="1" applyBorder="1"/>
    <xf numFmtId="0" fontId="10" fillId="0" borderId="6" xfId="0" applyFont="1" applyBorder="1"/>
    <xf numFmtId="0" fontId="10" fillId="0" borderId="7" xfId="0" applyFont="1" applyBorder="1"/>
    <xf numFmtId="0" fontId="25" fillId="0" borderId="8" xfId="0" applyFont="1" applyBorder="1" applyAlignment="1">
      <alignment horizontal="center"/>
    </xf>
    <xf numFmtId="0" fontId="0" fillId="0" borderId="7" xfId="0" applyBorder="1"/>
    <xf numFmtId="0" fontId="26" fillId="0" borderId="0" xfId="0" applyFont="1" applyBorder="1"/>
    <xf numFmtId="0" fontId="25" fillId="0" borderId="4" xfId="0" applyFont="1" applyBorder="1"/>
    <xf numFmtId="0" fontId="7" fillId="0" borderId="30" xfId="0" applyFont="1" applyBorder="1"/>
    <xf numFmtId="0" fontId="7" fillId="0" borderId="6" xfId="0" applyFont="1" applyBorder="1"/>
    <xf numFmtId="0" fontId="7" fillId="0" borderId="8" xfId="0" applyFont="1" applyBorder="1"/>
    <xf numFmtId="0" fontId="25" fillId="0" borderId="8" xfId="0" applyFont="1" applyBorder="1"/>
    <xf numFmtId="0" fontId="4" fillId="0" borderId="6" xfId="0" applyFont="1" applyBorder="1" applyAlignment="1">
      <alignment horizontal="left"/>
    </xf>
    <xf numFmtId="0" fontId="9" fillId="0" borderId="37" xfId="0" applyFont="1" applyBorder="1"/>
    <xf numFmtId="0" fontId="4" fillId="0" borderId="8" xfId="0" applyFont="1" applyBorder="1"/>
    <xf numFmtId="0" fontId="9" fillId="5" borderId="4" xfId="0" applyFont="1" applyFill="1" applyBorder="1"/>
    <xf numFmtId="0" fontId="9" fillId="5" borderId="22" xfId="0" applyFont="1" applyFill="1" applyBorder="1"/>
    <xf numFmtId="0" fontId="9" fillId="5" borderId="15" xfId="0" applyFont="1" applyFill="1" applyBorder="1"/>
    <xf numFmtId="0" fontId="9" fillId="5" borderId="38" xfId="0" applyFont="1" applyFill="1" applyBorder="1"/>
    <xf numFmtId="0" fontId="9" fillId="5" borderId="5" xfId="0" applyFont="1" applyFill="1" applyBorder="1"/>
    <xf numFmtId="0" fontId="9" fillId="5" borderId="30" xfId="0" applyFont="1" applyFill="1" applyBorder="1"/>
    <xf numFmtId="0" fontId="9" fillId="5" borderId="6" xfId="0" applyFont="1" applyFill="1" applyBorder="1"/>
    <xf numFmtId="0" fontId="9" fillId="5" borderId="21" xfId="0" applyFont="1" applyFill="1" applyBorder="1"/>
    <xf numFmtId="0" fontId="9" fillId="5" borderId="16" xfId="0" applyFont="1" applyFill="1" applyBorder="1" applyAlignment="1">
      <alignment horizontal="left"/>
    </xf>
    <xf numFmtId="0" fontId="9" fillId="5" borderId="37" xfId="0" applyFont="1" applyFill="1" applyBorder="1"/>
    <xf numFmtId="0" fontId="9" fillId="5" borderId="7" xfId="0" applyFont="1" applyFill="1" applyBorder="1"/>
    <xf numFmtId="0" fontId="9" fillId="5" borderId="7" xfId="0" applyFont="1" applyFill="1" applyBorder="1" applyAlignment="1">
      <alignment horizontal="left"/>
    </xf>
    <xf numFmtId="0" fontId="9" fillId="5" borderId="29" xfId="0" applyFont="1" applyFill="1" applyBorder="1"/>
    <xf numFmtId="0" fontId="9" fillId="0" borderId="4" xfId="0" applyFont="1" applyBorder="1"/>
    <xf numFmtId="0" fontId="9" fillId="0" borderId="22" xfId="0" applyFont="1" applyBorder="1"/>
    <xf numFmtId="0" fontId="9" fillId="0" borderId="15" xfId="0" applyFont="1" applyBorder="1"/>
    <xf numFmtId="0" fontId="9" fillId="0" borderId="38" xfId="0" applyFont="1" applyBorder="1"/>
    <xf numFmtId="0" fontId="9" fillId="0" borderId="5" xfId="0" applyFont="1" applyBorder="1"/>
    <xf numFmtId="0" fontId="9" fillId="0" borderId="6" xfId="0" applyFont="1" applyBorder="1"/>
    <xf numFmtId="0" fontId="9" fillId="0" borderId="21" xfId="0" applyFont="1" applyBorder="1"/>
    <xf numFmtId="0" fontId="9" fillId="0" borderId="16" xfId="0" applyFont="1" applyBorder="1"/>
    <xf numFmtId="0" fontId="9" fillId="0" borderId="7" xfId="0" applyFont="1" applyBorder="1"/>
    <xf numFmtId="0" fontId="4" fillId="0" borderId="6" xfId="0" applyFont="1" applyBorder="1"/>
    <xf numFmtId="0" fontId="4" fillId="0" borderId="8" xfId="0" applyFont="1" applyBorder="1" applyAlignment="1">
      <alignment horizontal="left"/>
    </xf>
    <xf numFmtId="0" fontId="9" fillId="0" borderId="11" xfId="0" applyFont="1" applyBorder="1"/>
    <xf numFmtId="0" fontId="9" fillId="0" borderId="14" xfId="0" applyFont="1" applyBorder="1"/>
    <xf numFmtId="0" fontId="4" fillId="0" borderId="7" xfId="0" applyFont="1" applyBorder="1"/>
    <xf numFmtId="0" fontId="4" fillId="0" borderId="11" xfId="0" applyFont="1" applyBorder="1"/>
    <xf numFmtId="0" fontId="4" fillId="0" borderId="5" xfId="0" applyFont="1" applyBorder="1"/>
    <xf numFmtId="0" fontId="0" fillId="0" borderId="38" xfId="0" applyBorder="1"/>
    <xf numFmtId="0" fontId="4" fillId="0" borderId="30" xfId="0" applyFont="1" applyBorder="1"/>
    <xf numFmtId="0" fontId="4" fillId="0" borderId="14" xfId="0" applyFont="1" applyBorder="1"/>
    <xf numFmtId="0" fontId="0" fillId="0" borderId="37" xfId="0" applyBorder="1"/>
    <xf numFmtId="0" fontId="4" fillId="0" borderId="29" xfId="0" applyFont="1" applyBorder="1"/>
    <xf numFmtId="0" fontId="27" fillId="0" borderId="4" xfId="0" applyFont="1" applyBorder="1"/>
    <xf numFmtId="0" fontId="4" fillId="0" borderId="0" xfId="0" applyFont="1" applyBorder="1"/>
    <xf numFmtId="0" fontId="0" fillId="0" borderId="18" xfId="0" applyBorder="1"/>
    <xf numFmtId="0" fontId="0" fillId="0" borderId="19" xfId="0" applyBorder="1"/>
    <xf numFmtId="0" fontId="25" fillId="0" borderId="19" xfId="0" applyFont="1" applyBorder="1"/>
    <xf numFmtId="0" fontId="0" fillId="0" borderId="39" xfId="0" applyBorder="1"/>
    <xf numFmtId="0" fontId="10" fillId="0" borderId="0" xfId="0" applyFont="1" applyFill="1" applyBorder="1"/>
    <xf numFmtId="0" fontId="9" fillId="5" borderId="16" xfId="0" applyFont="1" applyFill="1" applyBorder="1" applyAlignment="1" quotePrefix="1">
      <alignment horizontal="left"/>
    </xf>
    <xf numFmtId="0" fontId="9" fillId="5" borderId="7" xfId="0" applyFont="1" applyFill="1" applyBorder="1" applyAlignment="1" quotePrefix="1">
      <alignment horizontal="left"/>
    </xf>
    <xf numFmtId="0" fontId="4" fillId="0" borderId="8" xfId="0" applyFont="1" applyBorder="1" applyAlignment="1" quotePrefix="1">
      <alignment horizontal="left"/>
    </xf>
    <xf numFmtId="0" fontId="6" fillId="0" borderId="0" xfId="0" applyFont="1" applyBorder="1" applyAlignment="1" quotePrefix="1">
      <alignment horizontal="left"/>
    </xf>
    <xf numFmtId="0" fontId="10" fillId="0" borderId="0" xfId="0" applyFont="1" applyBorder="1" applyAlignment="1" quotePrefix="1">
      <alignment horizontal="left"/>
    </xf>
    <xf numFmtId="0" fontId="6" fillId="0" borderId="4" xfId="0" applyFont="1" applyBorder="1" applyAlignment="1" quotePrefix="1">
      <alignment horizontal="left"/>
    </xf>
    <xf numFmtId="0" fontId="6" fillId="0" borderId="8" xfId="0" applyFont="1" applyBorder="1" applyAlignment="1" quotePrefix="1">
      <alignment horizontal="left"/>
    </xf>
    <xf numFmtId="0" fontId="6" fillId="0" borderId="7" xfId="0" applyFont="1" applyFill="1" applyBorder="1" applyAlignment="1" quotePrefix="1">
      <alignment horizontal="center"/>
    </xf>
    <xf numFmtId="0" fontId="6" fillId="0" borderId="7" xfId="0" applyFont="1" applyFill="1" applyBorder="1" applyAlignment="1" quotePrefix="1">
      <alignment horizontal="left"/>
    </xf>
    <xf numFmtId="0" fontId="10" fillId="0" borderId="7" xfId="0" applyFont="1" applyFill="1" applyBorder="1" applyAlignment="1" quotePrefix="1">
      <alignment horizontal="center"/>
    </xf>
    <xf numFmtId="0" fontId="10" fillId="0" borderId="8" xfId="0" applyFont="1" applyFill="1" applyBorder="1" applyAlignment="1" quotePrefix="1">
      <alignment horizontal="center"/>
    </xf>
    <xf numFmtId="0" fontId="15" fillId="0" borderId="4" xfId="0" applyFont="1" applyFill="1" applyBorder="1" applyAlignment="1" quotePrefix="1">
      <alignment horizontal="left"/>
    </xf>
    <xf numFmtId="0" fontId="15" fillId="0" borderId="18" xfId="0" applyFont="1" applyFill="1" applyBorder="1" applyAlignment="1" quotePrefix="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www.wps.cn/officeDocument/2023/relationships/customStorage" Target="customStorage/customStorage.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14</xdr:col>
      <xdr:colOff>114299</xdr:colOff>
      <xdr:row>27</xdr:row>
      <xdr:rowOff>76200</xdr:rowOff>
    </xdr:from>
    <xdr:to>
      <xdr:col>17</xdr:col>
      <xdr:colOff>498475</xdr:colOff>
      <xdr:row>36</xdr:row>
      <xdr:rowOff>142875</xdr:rowOff>
    </xdr:to>
    <xdr:sp>
      <xdr:nvSpPr>
        <xdr:cNvPr id="1042" name="Text Box 18"/>
        <xdr:cNvSpPr txBox="1">
          <a:spLocks noChangeArrowheads="1"/>
        </xdr:cNvSpPr>
      </xdr:nvSpPr>
      <xdr:spPr>
        <a:xfrm>
          <a:off x="7600315" y="5278755"/>
          <a:ext cx="2204085" cy="1457325"/>
        </a:xfrm>
        <a:prstGeom prst="rect">
          <a:avLst/>
        </a:prstGeom>
        <a:solidFill>
          <a:srgbClr val="FFFFFF"/>
        </a:solidFill>
        <a:ln w="9525">
          <a:noFill/>
          <a:miter lim="800000"/>
        </a:ln>
      </xdr:spPr>
      <xdr:txBody>
        <a:bodyPr vertOverflow="clip" wrap="square" lIns="91440" tIns="45720" rIns="91440" bIns="45720" anchor="t" upright="1"/>
        <a:lstStyle/>
        <a:p>
          <a:pPr algn="l" rtl="0">
            <a:defRPr sz="1000"/>
          </a:pPr>
          <a:r>
            <a:rPr lang="en-US" sz="700" b="0" i="0" strike="noStrike">
              <a:solidFill>
                <a:srgbClr val="0000FF"/>
              </a:solidFill>
              <a:latin typeface="Arial" panose="020B0604020202020204"/>
              <a:cs typeface="Arial" panose="020B0604020202020204"/>
            </a:rPr>
            <a:t>            </a:t>
          </a:r>
          <a:endParaRPr lang="en-US" sz="700" b="0" i="0" strike="noStrike">
            <a:solidFill>
              <a:srgbClr val="0000FF"/>
            </a:solidFill>
            <a:latin typeface="Arial" panose="020B0604020202020204"/>
            <a:cs typeface="Arial" panose="020B0604020202020204"/>
          </a:endParaRPr>
        </a:p>
        <a:p>
          <a:pPr algn="l" rtl="0">
            <a:defRPr sz="1000"/>
          </a:pPr>
          <a:r>
            <a:rPr lang="en-US" sz="800" b="1" i="0" strike="noStrike">
              <a:solidFill>
                <a:srgbClr val="0000FF"/>
              </a:solidFill>
              <a:latin typeface="Arial" panose="020B0604020202020204"/>
              <a:cs typeface="Arial" panose="020B0604020202020204"/>
            </a:rPr>
            <a:t>      PNGLAS</a:t>
          </a:r>
          <a:r>
            <a:rPr lang="en-US" sz="800" b="1" i="0" strike="noStrike" baseline="0">
              <a:solidFill>
                <a:srgbClr val="0000FF"/>
              </a:solidFill>
              <a:latin typeface="Arial" panose="020B0604020202020204"/>
              <a:cs typeface="Arial" panose="020B0604020202020204"/>
            </a:rPr>
            <a:t> Accredited Laboratory</a:t>
          </a:r>
          <a:endParaRPr lang="en-US" sz="800" b="1" i="0" strike="noStrike">
            <a:solidFill>
              <a:srgbClr val="0000FF"/>
            </a:solidFill>
            <a:latin typeface="Arial" panose="020B0604020202020204"/>
            <a:cs typeface="Arial" panose="020B0604020202020204"/>
          </a:endParaRPr>
        </a:p>
        <a:p>
          <a:pPr algn="l" rtl="0">
            <a:defRPr sz="1000"/>
          </a:pPr>
          <a:endParaRPr lang="en-US" sz="700" b="0" i="0" strike="noStrike">
            <a:solidFill>
              <a:srgbClr val="0000FF"/>
            </a:solidFill>
            <a:latin typeface="Arial" panose="020B0604020202020204"/>
            <a:cs typeface="Arial" panose="020B0604020202020204"/>
          </a:endParaRPr>
        </a:p>
        <a:p>
          <a:pPr algn="l" rtl="0">
            <a:defRPr sz="1000"/>
          </a:pPr>
          <a:endParaRPr lang="en-US" sz="700" b="0" i="0" strike="noStrike">
            <a:solidFill>
              <a:srgbClr val="0000FF"/>
            </a:solidFill>
            <a:latin typeface="Arial" panose="020B0604020202020204"/>
            <a:cs typeface="Arial" panose="020B0604020202020204"/>
          </a:endParaRPr>
        </a:p>
        <a:p>
          <a:pPr algn="l" rtl="0">
            <a:defRPr sz="1000"/>
          </a:pPr>
          <a:endParaRPr lang="en-US" sz="700" b="0" i="0" strike="noStrike">
            <a:solidFill>
              <a:srgbClr val="0000FF"/>
            </a:solidFill>
            <a:latin typeface="Arial" panose="020B0604020202020204"/>
            <a:cs typeface="Arial" panose="020B0604020202020204"/>
          </a:endParaRPr>
        </a:p>
        <a:p>
          <a:pPr algn="l" rtl="0">
            <a:defRPr sz="1000"/>
          </a:pPr>
          <a:endParaRPr lang="en-US" sz="700" b="0" i="0" strike="noStrike">
            <a:solidFill>
              <a:srgbClr val="0000FF"/>
            </a:solidFill>
            <a:latin typeface="Arial" panose="020B0604020202020204"/>
            <a:cs typeface="Arial" panose="020B0604020202020204"/>
          </a:endParaRPr>
        </a:p>
        <a:p>
          <a:pPr algn="ctr" rtl="0">
            <a:defRPr sz="1000"/>
          </a:pPr>
          <a:r>
            <a:rPr lang="en-US" sz="700" b="0" i="0" strike="noStrike">
              <a:solidFill>
                <a:srgbClr val="0000FF"/>
              </a:solidFill>
              <a:latin typeface="Arial" panose="020B0604020202020204"/>
              <a:cs typeface="Arial" panose="020B0604020202020204"/>
            </a:rPr>
            <a:t>This laboratory is accredited by the Papua New Guinea Laboratory Accreditation Scheme. The tests reported herein have been performed in accordance with its scope of accreditation and PNGLAS requirements which include the requirements of ISO/IEC 17025. This document shall not be reproduced, except in full.</a:t>
          </a:r>
          <a:endParaRPr lang="en-US" sz="700" b="0" i="0" strike="noStrike">
            <a:solidFill>
              <a:srgbClr val="0000FF"/>
            </a:solidFill>
            <a:latin typeface="Arial" panose="020B0604020202020204"/>
            <a:cs typeface="Arial" panose="020B0604020202020204"/>
          </a:endParaRPr>
        </a:p>
        <a:p>
          <a:pPr algn="l" rtl="0">
            <a:defRPr sz="1000"/>
          </a:pPr>
          <a:endParaRPr lang="en-US" sz="700" b="0" i="0" strike="noStrike">
            <a:solidFill>
              <a:srgbClr val="000000"/>
            </a:solidFill>
            <a:latin typeface="Arial" panose="020B0604020202020204"/>
            <a:cs typeface="Arial" panose="020B0604020202020204"/>
          </a:endParaRPr>
        </a:p>
        <a:p>
          <a:pPr algn="l" rtl="0">
            <a:lnSpc>
              <a:spcPts val="700"/>
            </a:lnSpc>
            <a:defRPr sz="1000"/>
          </a:pPr>
          <a:endParaRPr lang="en-US" sz="700" b="0" i="0" strike="noStrike">
            <a:solidFill>
              <a:srgbClr val="000000"/>
            </a:solidFill>
            <a:latin typeface="Arial" panose="020B0604020202020204"/>
            <a:cs typeface="Arial" panose="020B0604020202020204"/>
          </a:endParaRPr>
        </a:p>
      </xdr:txBody>
    </xdr:sp>
    <xdr:clientData/>
  </xdr:twoCellAnchor>
  <xdr:twoCellAnchor>
    <xdr:from>
      <xdr:col>14</xdr:col>
      <xdr:colOff>304800</xdr:colOff>
      <xdr:row>25</xdr:row>
      <xdr:rowOff>9525</xdr:rowOff>
    </xdr:from>
    <xdr:to>
      <xdr:col>17</xdr:col>
      <xdr:colOff>190500</xdr:colOff>
      <xdr:row>27</xdr:row>
      <xdr:rowOff>104775</xdr:rowOff>
    </xdr:to>
    <xdr:pic>
      <xdr:nvPicPr>
        <xdr:cNvPr id="3838" name="Picture 20" descr="PNGLAS cc bmp"/>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7791450" y="4916805"/>
          <a:ext cx="170497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57148</xdr:colOff>
      <xdr:row>0</xdr:row>
      <xdr:rowOff>19050</xdr:rowOff>
    </xdr:from>
    <xdr:to>
      <xdr:col>14</xdr:col>
      <xdr:colOff>695325</xdr:colOff>
      <xdr:row>5</xdr:row>
      <xdr:rowOff>0</xdr:rowOff>
    </xdr:to>
    <xdr:sp>
      <xdr:nvSpPr>
        <xdr:cNvPr id="20" name="TextBox 19"/>
        <xdr:cNvSpPr txBox="1"/>
      </xdr:nvSpPr>
      <xdr:spPr>
        <a:xfrm>
          <a:off x="1304290" y="19050"/>
          <a:ext cx="6877685" cy="10394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AU" sz="1400" b="1">
              <a:solidFill>
                <a:srgbClr val="0C11EA"/>
              </a:solidFill>
            </a:rPr>
            <a:t>DEPARTMENT</a:t>
          </a:r>
          <a:r>
            <a:rPr lang="en-AU" sz="1400" b="1" baseline="0">
              <a:solidFill>
                <a:srgbClr val="0C11EA"/>
              </a:solidFill>
            </a:rPr>
            <a:t> OF WORKS &amp; HIGHWAYS</a:t>
          </a:r>
          <a:endParaRPr lang="en-AU" sz="1400" b="1" baseline="0">
            <a:solidFill>
              <a:srgbClr val="0C11EA"/>
            </a:solidFill>
          </a:endParaRPr>
        </a:p>
        <a:p>
          <a:pPr algn="ctr"/>
          <a:r>
            <a:rPr lang="en-AU" sz="1600" b="1" baseline="0">
              <a:solidFill>
                <a:srgbClr val="00B050"/>
              </a:solidFill>
            </a:rPr>
            <a:t>MATERIAL SCIENCE &amp; TECHNOLOGY BRANCH</a:t>
          </a:r>
          <a:endParaRPr lang="en-AU" sz="1600" b="1" baseline="0">
            <a:solidFill>
              <a:srgbClr val="00B050"/>
            </a:solidFill>
          </a:endParaRPr>
        </a:p>
        <a:p>
          <a:pPr algn="ctr"/>
          <a:r>
            <a:rPr lang="en-AU" sz="1400" b="1" u="none">
              <a:solidFill>
                <a:srgbClr val="C00000"/>
              </a:solidFill>
            </a:rPr>
            <a:t>Materials Testing Laboratory</a:t>
          </a:r>
          <a:endParaRPr lang="en-AU" sz="1400" b="1" u="none">
            <a:solidFill>
              <a:srgbClr val="C00000"/>
            </a:solidFill>
          </a:endParaRPr>
        </a:p>
        <a:p>
          <a:pPr algn="l"/>
          <a:r>
            <a:rPr lang="en-AU" sz="1100" b="1"/>
            <a:t>                      Port Moresby                              Lae                                Mt Hagen</a:t>
          </a:r>
          <a:r>
            <a:rPr lang="en-AU" sz="1100" b="1" baseline="0"/>
            <a:t>                             Annex Lab.:</a:t>
          </a:r>
          <a:r>
            <a:rPr lang="en-AU" sz="1100" b="1" u="none" baseline="0"/>
            <a:t>__________</a:t>
          </a:r>
          <a:r>
            <a:rPr lang="en-AU" sz="1100" b="1" u="sng" baseline="0"/>
            <a:t>                                      </a:t>
          </a:r>
          <a:endParaRPr lang="en-AU" sz="1100" b="1"/>
        </a:p>
      </xdr:txBody>
    </xdr:sp>
    <xdr:clientData/>
  </xdr:twoCellAnchor>
  <xdr:twoCellAnchor>
    <xdr:from>
      <xdr:col>5</xdr:col>
      <xdr:colOff>22225</xdr:colOff>
      <xdr:row>4</xdr:row>
      <xdr:rowOff>38100</xdr:rowOff>
    </xdr:from>
    <xdr:to>
      <xdr:col>5</xdr:col>
      <xdr:colOff>269875</xdr:colOff>
      <xdr:row>4</xdr:row>
      <xdr:rowOff>256199</xdr:rowOff>
    </xdr:to>
    <xdr:sp>
      <xdr:nvSpPr>
        <xdr:cNvPr id="21" name="TextBox 20"/>
        <xdr:cNvSpPr txBox="1"/>
      </xdr:nvSpPr>
      <xdr:spPr>
        <a:xfrm>
          <a:off x="3270250" y="782320"/>
          <a:ext cx="247650" cy="217805"/>
        </a:xfrm>
        <a:prstGeom prst="rect">
          <a:avLst/>
        </a:prstGeom>
        <a:solidFill>
          <a:schemeClr val="bg1"/>
        </a:solid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wrap="square" rtlCol="0" anchor="ctr"/>
        <a:lstStyle/>
        <a:p>
          <a:endParaRPr lang="en-AU"/>
        </a:p>
      </xdr:txBody>
    </xdr:sp>
    <xdr:clientData/>
  </xdr:twoCellAnchor>
  <xdr:twoCellAnchor>
    <xdr:from>
      <xdr:col>10</xdr:col>
      <xdr:colOff>320675</xdr:colOff>
      <xdr:row>4</xdr:row>
      <xdr:rowOff>12700</xdr:rowOff>
    </xdr:from>
    <xdr:to>
      <xdr:col>11</xdr:col>
      <xdr:colOff>97697</xdr:colOff>
      <xdr:row>4</xdr:row>
      <xdr:rowOff>222250</xdr:rowOff>
    </xdr:to>
    <xdr:sp>
      <xdr:nvSpPr>
        <xdr:cNvPr id="22" name="TextBox 21"/>
        <xdr:cNvSpPr txBox="1"/>
      </xdr:nvSpPr>
      <xdr:spPr>
        <a:xfrm>
          <a:off x="5930900" y="756920"/>
          <a:ext cx="214630" cy="209550"/>
        </a:xfrm>
        <a:prstGeom prst="rect">
          <a:avLst/>
        </a:prstGeom>
        <a:solidFill>
          <a:schemeClr val="bg1"/>
        </a:solid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wrap="square" rtlCol="0" anchor="ctr"/>
        <a:lstStyle/>
        <a:p>
          <a:endParaRPr lang="en-AU"/>
        </a:p>
      </xdr:txBody>
    </xdr:sp>
    <xdr:clientData/>
  </xdr:twoCellAnchor>
  <xdr:twoCellAnchor>
    <xdr:from>
      <xdr:col>7</xdr:col>
      <xdr:colOff>390525</xdr:colOff>
      <xdr:row>4</xdr:row>
      <xdr:rowOff>47625</xdr:rowOff>
    </xdr:from>
    <xdr:to>
      <xdr:col>8</xdr:col>
      <xdr:colOff>190500</xdr:colOff>
      <xdr:row>4</xdr:row>
      <xdr:rowOff>260350</xdr:rowOff>
    </xdr:to>
    <xdr:sp>
      <xdr:nvSpPr>
        <xdr:cNvPr id="23" name="TextBox 22"/>
        <xdr:cNvSpPr txBox="1"/>
      </xdr:nvSpPr>
      <xdr:spPr>
        <a:xfrm>
          <a:off x="4486275" y="791845"/>
          <a:ext cx="238125" cy="212725"/>
        </a:xfrm>
        <a:prstGeom prst="rect">
          <a:avLst/>
        </a:prstGeom>
        <a:solidFill>
          <a:schemeClr val="bg1"/>
        </a:solid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wrap="square" rtlCol="0" anchor="ctr"/>
        <a:lstStyle/>
        <a:p>
          <a:endParaRPr lang="en-AU"/>
        </a:p>
      </xdr:txBody>
    </xdr:sp>
    <xdr:clientData/>
  </xdr:twoCellAnchor>
  <xdr:twoCellAnchor>
    <xdr:from>
      <xdr:col>2</xdr:col>
      <xdr:colOff>482600</xdr:colOff>
      <xdr:row>4</xdr:row>
      <xdr:rowOff>47625</xdr:rowOff>
    </xdr:from>
    <xdr:to>
      <xdr:col>3</xdr:col>
      <xdr:colOff>20225</xdr:colOff>
      <xdr:row>4</xdr:row>
      <xdr:rowOff>257175</xdr:rowOff>
    </xdr:to>
    <xdr:sp>
      <xdr:nvSpPr>
        <xdr:cNvPr id="24" name="TextBox 23"/>
        <xdr:cNvSpPr txBox="1"/>
      </xdr:nvSpPr>
      <xdr:spPr>
        <a:xfrm>
          <a:off x="1730375" y="791845"/>
          <a:ext cx="213360" cy="209550"/>
        </a:xfrm>
        <a:prstGeom prst="rect">
          <a:avLst/>
        </a:prstGeom>
        <a:solidFill>
          <a:schemeClr val="bg1"/>
        </a:solid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AU">
              <a:latin typeface="Marlett" pitchFamily="2" charset="2"/>
              <a:sym typeface="Marlett"/>
            </a:rPr>
            <a:t></a:t>
          </a:r>
          <a:endParaRPr lang="en-AU">
            <a:latin typeface="Marlett" pitchFamily="2" charset="2"/>
          </a:endParaRPr>
        </a:p>
      </xdr:txBody>
    </xdr:sp>
    <xdr:clientData/>
  </xdr:twoCellAnchor>
  <xdr:twoCellAnchor editAs="oneCell">
    <xdr:from>
      <xdr:col>0</xdr:col>
      <xdr:colOff>161925</xdr:colOff>
      <xdr:row>0</xdr:row>
      <xdr:rowOff>57150</xdr:rowOff>
    </xdr:from>
    <xdr:to>
      <xdr:col>1</xdr:col>
      <xdr:colOff>714375</xdr:colOff>
      <xdr:row>4</xdr:row>
      <xdr:rowOff>142875</xdr:rowOff>
    </xdr:to>
    <xdr:pic>
      <xdr:nvPicPr>
        <xdr:cNvPr id="3844" name="Picture 10" descr="PNG Logo"/>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61925" y="57150"/>
          <a:ext cx="1066800" cy="8299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476250</xdr:colOff>
      <xdr:row>29</xdr:row>
      <xdr:rowOff>152400</xdr:rowOff>
    </xdr:from>
    <xdr:to>
      <xdr:col>16</xdr:col>
      <xdr:colOff>304800</xdr:colOff>
      <xdr:row>31</xdr:row>
      <xdr:rowOff>57150</xdr:rowOff>
    </xdr:to>
    <xdr:sp>
      <xdr:nvSpPr>
        <xdr:cNvPr id="10" name="TextBox 9"/>
        <xdr:cNvSpPr txBox="1"/>
      </xdr:nvSpPr>
      <xdr:spPr>
        <a:xfrm>
          <a:off x="7962900" y="5612130"/>
          <a:ext cx="1200150" cy="228600"/>
        </a:xfrm>
        <a:prstGeom prst="rect">
          <a:avLst/>
        </a:prstGeom>
        <a:solidFill>
          <a:schemeClr val="tx2">
            <a:lumMod val="40000"/>
            <a:lumOff val="60000"/>
          </a:schemeClr>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AU" sz="1200" b="1">
              <a:solidFill>
                <a:sysClr val="windowText" lastClr="000000"/>
              </a:solidFill>
            </a:rPr>
            <a:t>NUMBER</a:t>
          </a:r>
          <a:r>
            <a:rPr lang="en-AU" sz="1200" b="1" baseline="0">
              <a:solidFill>
                <a:sysClr val="windowText" lastClr="000000"/>
              </a:solidFill>
            </a:rPr>
            <a:t> :  10 </a:t>
          </a:r>
          <a:endParaRPr lang="en-AU" sz="1200" b="1">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3"/>
  <sheetViews>
    <sheetView showGridLines="0" workbookViewId="0">
      <selection activeCell="C4" sqref="C4"/>
    </sheetView>
  </sheetViews>
  <sheetFormatPr defaultColWidth="9" defaultRowHeight="12.75"/>
  <cols>
    <col min="1" max="2" width="9.42857142857143" customWidth="1"/>
    <col min="3" max="3" width="11.4285714285714" customWidth="1"/>
    <col min="4" max="4" width="10.4285714285714" customWidth="1"/>
    <col min="5" max="6" width="9.42857142857143" customWidth="1"/>
    <col min="7" max="8" width="13.4285714285714" customWidth="1"/>
  </cols>
  <sheetData>
    <row r="1" ht="18.75" customHeight="1" spans="1:10">
      <c r="A1" s="167"/>
      <c r="B1" s="168"/>
      <c r="C1" s="169"/>
      <c r="D1" s="78"/>
      <c r="E1" s="170" t="s">
        <v>0</v>
      </c>
      <c r="F1" s="78"/>
      <c r="G1" s="171"/>
      <c r="H1" s="172" t="s">
        <v>1</v>
      </c>
      <c r="I1" s="89"/>
      <c r="J1" s="89"/>
    </row>
    <row r="2" ht="18.75" customHeight="1" spans="1:10">
      <c r="A2" s="173"/>
      <c r="B2" s="174"/>
      <c r="C2" s="175"/>
      <c r="D2" s="175"/>
      <c r="E2" s="176" t="s">
        <v>2</v>
      </c>
      <c r="F2" s="18"/>
      <c r="G2" s="177"/>
      <c r="H2" s="178"/>
      <c r="I2" s="89"/>
      <c r="J2" s="89"/>
    </row>
    <row r="3" ht="18.75" customHeight="1" spans="1:10">
      <c r="A3" s="173"/>
      <c r="B3" s="174"/>
      <c r="C3" s="175"/>
      <c r="D3" s="175"/>
      <c r="E3" s="176" t="s">
        <v>3</v>
      </c>
      <c r="F3" s="18"/>
      <c r="G3" s="177"/>
      <c r="H3" s="179" t="s">
        <v>4</v>
      </c>
      <c r="I3" s="89"/>
      <c r="J3" s="89"/>
    </row>
    <row r="4" ht="18.75" customHeight="1" spans="1:10">
      <c r="A4" s="173"/>
      <c r="B4" s="174"/>
      <c r="C4" s="175"/>
      <c r="D4" s="175"/>
      <c r="E4" s="176" t="s">
        <v>5</v>
      </c>
      <c r="F4" s="18"/>
      <c r="G4" s="177"/>
      <c r="H4" s="178"/>
      <c r="I4" s="89"/>
      <c r="J4" s="89"/>
    </row>
    <row r="5" ht="18.75" customHeight="1" spans="1:10">
      <c r="A5" s="180"/>
      <c r="B5" s="181"/>
      <c r="C5" s="53"/>
      <c r="D5" s="182" t="s">
        <v>6</v>
      </c>
      <c r="E5" s="53"/>
      <c r="F5" s="182" t="s">
        <v>7</v>
      </c>
      <c r="G5" s="183"/>
      <c r="H5" s="178" t="s">
        <v>8</v>
      </c>
      <c r="I5" s="89"/>
      <c r="J5" s="89"/>
    </row>
    <row r="6" ht="18.75" customHeight="1" spans="1:10">
      <c r="A6" s="173"/>
      <c r="B6" s="184" t="s">
        <v>9</v>
      </c>
      <c r="C6" s="18"/>
      <c r="D6" s="18"/>
      <c r="E6" s="18"/>
      <c r="F6" s="18"/>
      <c r="G6" s="18"/>
      <c r="H6" s="152"/>
      <c r="I6" s="89"/>
      <c r="J6" s="89"/>
    </row>
    <row r="7" ht="18.75" customHeight="1" spans="1:10">
      <c r="A7" s="185" t="s">
        <v>10</v>
      </c>
      <c r="B7" s="15"/>
      <c r="C7" s="15"/>
      <c r="D7" s="15"/>
      <c r="E7" s="15"/>
      <c r="F7" s="15"/>
      <c r="G7" s="15"/>
      <c r="H7" s="186"/>
      <c r="I7" s="15"/>
      <c r="J7" s="89"/>
    </row>
    <row r="8" ht="18.75" customHeight="1" spans="1:10">
      <c r="A8" s="185" t="s">
        <v>11</v>
      </c>
      <c r="B8" s="15"/>
      <c r="C8" s="15"/>
      <c r="D8" s="15"/>
      <c r="E8" s="15"/>
      <c r="F8" s="15"/>
      <c r="G8" s="15"/>
      <c r="H8" s="186"/>
      <c r="I8" s="15"/>
      <c r="J8" s="89"/>
    </row>
    <row r="9" ht="18.75" customHeight="1" spans="1:10">
      <c r="A9" s="187" t="s">
        <v>12</v>
      </c>
      <c r="B9" s="188"/>
      <c r="C9" s="189" t="s">
        <v>13</v>
      </c>
      <c r="D9" s="189"/>
      <c r="E9" s="189"/>
      <c r="F9" s="189"/>
      <c r="G9" s="189" t="s">
        <v>14</v>
      </c>
      <c r="H9" s="164"/>
      <c r="I9" s="18"/>
      <c r="J9" s="89"/>
    </row>
    <row r="10" ht="14.85" customHeight="1" spans="1:10">
      <c r="A10" s="190" t="s">
        <v>15</v>
      </c>
      <c r="B10" s="53"/>
      <c r="C10" s="22"/>
      <c r="D10" s="191"/>
      <c r="E10" s="192" t="s">
        <v>15</v>
      </c>
      <c r="F10" s="53"/>
      <c r="G10" s="22"/>
      <c r="H10" s="178"/>
      <c r="I10" s="89"/>
      <c r="J10" s="18"/>
    </row>
    <row r="11" ht="14.85" customHeight="1" spans="1:9">
      <c r="A11" s="193" t="s">
        <v>16</v>
      </c>
      <c r="B11" s="194" t="s">
        <v>17</v>
      </c>
      <c r="C11" s="195" t="s">
        <v>18</v>
      </c>
      <c r="D11" s="196" t="s">
        <v>19</v>
      </c>
      <c r="E11" s="197" t="s">
        <v>16</v>
      </c>
      <c r="F11" s="197" t="s">
        <v>17</v>
      </c>
      <c r="G11" s="197" t="s">
        <v>18</v>
      </c>
      <c r="H11" s="198" t="s">
        <v>19</v>
      </c>
      <c r="I11" s="233"/>
    </row>
    <row r="12" ht="14.85" customHeight="1" spans="1:9">
      <c r="A12" s="199"/>
      <c r="B12" s="200"/>
      <c r="C12" s="234" t="s">
        <v>20</v>
      </c>
      <c r="D12" s="202"/>
      <c r="E12" s="203"/>
      <c r="F12" s="203"/>
      <c r="G12" s="235" t="s">
        <v>20</v>
      </c>
      <c r="H12" s="205"/>
      <c r="I12" s="233"/>
    </row>
    <row r="13" ht="14.85" customHeight="1" spans="1:9">
      <c r="A13" s="206"/>
      <c r="B13" s="207"/>
      <c r="C13" s="208"/>
      <c r="D13" s="209"/>
      <c r="E13" s="210"/>
      <c r="F13" s="210"/>
      <c r="G13" s="210"/>
      <c r="H13" s="179"/>
      <c r="I13" s="89"/>
    </row>
    <row r="14" ht="14.85" customHeight="1" spans="1:9">
      <c r="A14" s="206"/>
      <c r="B14" s="207"/>
      <c r="C14" s="208"/>
      <c r="D14" s="209"/>
      <c r="E14" s="210"/>
      <c r="F14" s="210"/>
      <c r="G14" s="210"/>
      <c r="H14" s="179"/>
      <c r="I14" s="89"/>
    </row>
    <row r="15" ht="14.85" customHeight="1" spans="1:9">
      <c r="A15" s="206"/>
      <c r="B15" s="207"/>
      <c r="C15" s="208"/>
      <c r="D15" s="209"/>
      <c r="E15" s="210"/>
      <c r="F15" s="210"/>
      <c r="G15" s="210"/>
      <c r="H15" s="179"/>
      <c r="I15" s="89"/>
    </row>
    <row r="16" ht="14.85" customHeight="1" spans="1:9">
      <c r="A16" s="206"/>
      <c r="B16" s="207"/>
      <c r="C16" s="208"/>
      <c r="D16" s="209"/>
      <c r="E16" s="210"/>
      <c r="F16" s="210"/>
      <c r="G16" s="210"/>
      <c r="H16" s="179"/>
      <c r="I16" s="89"/>
    </row>
    <row r="17" ht="14.85" customHeight="1" spans="1:9">
      <c r="A17" s="206"/>
      <c r="B17" s="207"/>
      <c r="C17" s="208"/>
      <c r="D17" s="209"/>
      <c r="E17" s="210"/>
      <c r="F17" s="210"/>
      <c r="G17" s="210"/>
      <c r="H17" s="179"/>
      <c r="I17" s="89"/>
    </row>
    <row r="18" ht="14.85" customHeight="1" spans="1:9">
      <c r="A18" s="206"/>
      <c r="B18" s="207"/>
      <c r="C18" s="208"/>
      <c r="D18" s="209"/>
      <c r="E18" s="210"/>
      <c r="F18" s="210"/>
      <c r="G18" s="210"/>
      <c r="H18" s="179"/>
      <c r="I18" s="89"/>
    </row>
    <row r="19" ht="14.85" customHeight="1" spans="1:9">
      <c r="A19" s="206"/>
      <c r="B19" s="207"/>
      <c r="C19" s="208"/>
      <c r="D19" s="209"/>
      <c r="E19" s="210"/>
      <c r="F19" s="210"/>
      <c r="G19" s="210"/>
      <c r="H19" s="179"/>
      <c r="I19" s="89"/>
    </row>
    <row r="20" ht="14.85" customHeight="1" spans="1:9">
      <c r="A20" s="206"/>
      <c r="B20" s="207"/>
      <c r="C20" s="208"/>
      <c r="D20" s="209"/>
      <c r="E20" s="210"/>
      <c r="F20" s="210"/>
      <c r="G20" s="210"/>
      <c r="H20" s="179"/>
      <c r="I20" s="89"/>
    </row>
    <row r="21" ht="14.85" customHeight="1" spans="1:9">
      <c r="A21" s="206"/>
      <c r="B21" s="207"/>
      <c r="C21" s="208"/>
      <c r="D21" s="209"/>
      <c r="E21" s="210"/>
      <c r="F21" s="210"/>
      <c r="G21" s="210"/>
      <c r="H21" s="179"/>
      <c r="I21" s="89"/>
    </row>
    <row r="22" ht="14.85" customHeight="1" spans="1:9">
      <c r="A22" s="211"/>
      <c r="B22" s="212"/>
      <c r="C22" s="213"/>
      <c r="D22" s="191"/>
      <c r="E22" s="214"/>
      <c r="F22" s="214"/>
      <c r="G22" s="214"/>
      <c r="H22" s="178"/>
      <c r="I22" s="89"/>
    </row>
    <row r="23" ht="14.85" customHeight="1" spans="1:9">
      <c r="A23" s="215" t="s">
        <v>15</v>
      </c>
      <c r="B23" s="22"/>
      <c r="C23" s="22"/>
      <c r="D23" s="191"/>
      <c r="E23" s="236" t="s">
        <v>15</v>
      </c>
      <c r="F23" s="22"/>
      <c r="G23" s="22"/>
      <c r="H23" s="178"/>
      <c r="I23" s="89"/>
    </row>
    <row r="24" ht="14.85" customHeight="1" spans="1:9">
      <c r="A24" s="217"/>
      <c r="B24" s="210"/>
      <c r="C24" s="210"/>
      <c r="D24" s="209"/>
      <c r="E24" s="210"/>
      <c r="F24" s="210"/>
      <c r="G24" s="210"/>
      <c r="H24" s="179"/>
      <c r="I24" s="89"/>
    </row>
    <row r="25" ht="14.85" customHeight="1" spans="1:9">
      <c r="A25" s="217"/>
      <c r="B25" s="210"/>
      <c r="C25" s="210"/>
      <c r="D25" s="209"/>
      <c r="E25" s="210"/>
      <c r="F25" s="210"/>
      <c r="G25" s="210"/>
      <c r="H25" s="179"/>
      <c r="I25" s="89"/>
    </row>
    <row r="26" ht="14.85" customHeight="1" spans="1:9">
      <c r="A26" s="217"/>
      <c r="B26" s="210"/>
      <c r="C26" s="210"/>
      <c r="D26" s="209"/>
      <c r="E26" s="210"/>
      <c r="F26" s="210"/>
      <c r="G26" s="210"/>
      <c r="H26" s="179"/>
      <c r="I26" s="89"/>
    </row>
    <row r="27" ht="14.85" customHeight="1" spans="1:9">
      <c r="A27" s="217"/>
      <c r="B27" s="210"/>
      <c r="C27" s="210"/>
      <c r="D27" s="209"/>
      <c r="E27" s="210"/>
      <c r="F27" s="210"/>
      <c r="G27" s="210"/>
      <c r="H27" s="179"/>
      <c r="I27" s="89"/>
    </row>
    <row r="28" ht="14.85" customHeight="1" spans="1:9">
      <c r="A28" s="217"/>
      <c r="B28" s="210"/>
      <c r="C28" s="210"/>
      <c r="D28" s="209"/>
      <c r="E28" s="210"/>
      <c r="F28" s="210"/>
      <c r="G28" s="210"/>
      <c r="H28" s="179"/>
      <c r="I28" s="89"/>
    </row>
    <row r="29" ht="14.85" customHeight="1" spans="1:9">
      <c r="A29" s="217"/>
      <c r="B29" s="210"/>
      <c r="C29" s="210"/>
      <c r="D29" s="209"/>
      <c r="E29" s="210"/>
      <c r="F29" s="210"/>
      <c r="G29" s="210"/>
      <c r="H29" s="179"/>
      <c r="I29" s="89"/>
    </row>
    <row r="30" ht="14.85" customHeight="1" spans="1:9">
      <c r="A30" s="217"/>
      <c r="B30" s="210"/>
      <c r="C30" s="210"/>
      <c r="D30" s="209"/>
      <c r="E30" s="210"/>
      <c r="F30" s="210"/>
      <c r="G30" s="210"/>
      <c r="H30" s="179"/>
      <c r="I30" s="89"/>
    </row>
    <row r="31" ht="14.85" customHeight="1" spans="1:9">
      <c r="A31" s="217"/>
      <c r="B31" s="210"/>
      <c r="C31" s="210"/>
      <c r="D31" s="209"/>
      <c r="E31" s="210"/>
      <c r="F31" s="210"/>
      <c r="G31" s="210"/>
      <c r="H31" s="179"/>
      <c r="I31" s="89"/>
    </row>
    <row r="32" ht="14.85" customHeight="1" spans="1:9">
      <c r="A32" s="217"/>
      <c r="B32" s="210"/>
      <c r="C32" s="210"/>
      <c r="D32" s="209"/>
      <c r="E32" s="210"/>
      <c r="F32" s="210"/>
      <c r="G32" s="210"/>
      <c r="H32" s="179"/>
      <c r="I32" s="89"/>
    </row>
    <row r="33" ht="14.85" customHeight="1" spans="1:9">
      <c r="A33" s="217"/>
      <c r="B33" s="210"/>
      <c r="C33" s="210"/>
      <c r="D33" s="209"/>
      <c r="E33" s="210"/>
      <c r="F33" s="210"/>
      <c r="G33" s="210"/>
      <c r="H33" s="179"/>
      <c r="I33" s="89"/>
    </row>
    <row r="34" ht="14.85" customHeight="1" spans="1:9">
      <c r="A34" s="218"/>
      <c r="B34" s="214"/>
      <c r="C34" s="214"/>
      <c r="D34" s="191"/>
      <c r="E34" s="219"/>
      <c r="F34" s="214"/>
      <c r="G34" s="214"/>
      <c r="H34" s="178"/>
      <c r="I34" s="89"/>
    </row>
    <row r="35" ht="14.85" customHeight="1" spans="1:9">
      <c r="A35" s="215" t="s">
        <v>15</v>
      </c>
      <c r="B35" s="22"/>
      <c r="C35" s="22"/>
      <c r="D35" s="191"/>
      <c r="E35" s="192" t="s">
        <v>15</v>
      </c>
      <c r="F35" s="22"/>
      <c r="G35" s="22"/>
      <c r="H35" s="178"/>
      <c r="I35" s="89"/>
    </row>
    <row r="36" ht="14.85" customHeight="1" spans="1:9">
      <c r="A36" s="220"/>
      <c r="B36" s="221"/>
      <c r="C36" s="221"/>
      <c r="D36" s="222"/>
      <c r="E36" s="221"/>
      <c r="F36" s="221"/>
      <c r="G36" s="221"/>
      <c r="H36" s="223"/>
      <c r="I36" s="18"/>
    </row>
    <row r="37" ht="14.85" customHeight="1" spans="1:9">
      <c r="A37" s="220"/>
      <c r="B37" s="221"/>
      <c r="C37" s="221"/>
      <c r="D37" s="222"/>
      <c r="E37" s="221"/>
      <c r="F37" s="221"/>
      <c r="G37" s="221"/>
      <c r="H37" s="223"/>
      <c r="I37" s="18"/>
    </row>
    <row r="38" ht="14.85" customHeight="1" spans="1:9">
      <c r="A38" s="220"/>
      <c r="B38" s="221"/>
      <c r="C38" s="221"/>
      <c r="D38" s="222"/>
      <c r="E38" s="221"/>
      <c r="F38" s="221"/>
      <c r="G38" s="221"/>
      <c r="H38" s="223"/>
      <c r="I38" s="18"/>
    </row>
    <row r="39" ht="14.85" customHeight="1" spans="1:9">
      <c r="A39" s="220"/>
      <c r="B39" s="221"/>
      <c r="C39" s="221"/>
      <c r="D39" s="222"/>
      <c r="E39" s="221"/>
      <c r="F39" s="221"/>
      <c r="G39" s="221"/>
      <c r="H39" s="223"/>
      <c r="I39" s="18"/>
    </row>
    <row r="40" ht="14.85" customHeight="1" spans="1:9">
      <c r="A40" s="220"/>
      <c r="B40" s="221"/>
      <c r="C40" s="221"/>
      <c r="D40" s="222"/>
      <c r="E40" s="221"/>
      <c r="F40" s="221"/>
      <c r="G40" s="221"/>
      <c r="H40" s="223"/>
      <c r="I40" s="18"/>
    </row>
    <row r="41" ht="14.85" customHeight="1" spans="1:9">
      <c r="A41" s="220"/>
      <c r="B41" s="221"/>
      <c r="C41" s="221"/>
      <c r="D41" s="222"/>
      <c r="E41" s="221"/>
      <c r="F41" s="221"/>
      <c r="G41" s="221"/>
      <c r="H41" s="223"/>
      <c r="I41" s="18"/>
    </row>
    <row r="42" ht="14.85" customHeight="1" spans="1:9">
      <c r="A42" s="220"/>
      <c r="B42" s="221"/>
      <c r="C42" s="221"/>
      <c r="D42" s="222"/>
      <c r="E42" s="221"/>
      <c r="F42" s="221"/>
      <c r="G42" s="221"/>
      <c r="H42" s="223"/>
      <c r="I42" s="18"/>
    </row>
    <row r="43" ht="14.85" customHeight="1" spans="1:9">
      <c r="A43" s="220"/>
      <c r="B43" s="221"/>
      <c r="C43" s="221"/>
      <c r="D43" s="222"/>
      <c r="E43" s="221"/>
      <c r="F43" s="221"/>
      <c r="G43" s="221"/>
      <c r="H43" s="223"/>
      <c r="I43" s="18"/>
    </row>
    <row r="44" ht="14.85" customHeight="1" spans="1:9">
      <c r="A44" s="220"/>
      <c r="B44" s="221"/>
      <c r="C44" s="221"/>
      <c r="D44" s="222"/>
      <c r="E44" s="221"/>
      <c r="F44" s="221"/>
      <c r="G44" s="221"/>
      <c r="H44" s="223"/>
      <c r="I44" s="18"/>
    </row>
    <row r="45" ht="14.85" customHeight="1" spans="1:9">
      <c r="A45" s="224"/>
      <c r="B45" s="219"/>
      <c r="C45" s="219"/>
      <c r="D45" s="225"/>
      <c r="E45" s="219"/>
      <c r="F45" s="219"/>
      <c r="G45" s="219"/>
      <c r="H45" s="226"/>
      <c r="I45" s="18"/>
    </row>
    <row r="46" ht="14.85" customHeight="1" spans="1:9">
      <c r="A46" s="227" t="s">
        <v>21</v>
      </c>
      <c r="B46" s="228"/>
      <c r="C46" s="228"/>
      <c r="D46" s="228"/>
      <c r="E46" s="228"/>
      <c r="F46" s="228"/>
      <c r="G46" s="228"/>
      <c r="H46" s="223"/>
      <c r="I46" s="18"/>
    </row>
    <row r="47" ht="14.85" customHeight="1" spans="1:9">
      <c r="A47" s="56"/>
      <c r="B47" s="228"/>
      <c r="C47" s="228"/>
      <c r="D47" s="228"/>
      <c r="E47" s="228"/>
      <c r="F47" s="228"/>
      <c r="G47" s="18"/>
      <c r="H47" s="179"/>
      <c r="I47" s="18"/>
    </row>
    <row r="48" ht="14.85" customHeight="1" spans="1:9">
      <c r="A48" s="59"/>
      <c r="B48" s="18"/>
      <c r="C48" s="18"/>
      <c r="D48" s="18"/>
      <c r="E48" s="18"/>
      <c r="F48" s="18"/>
      <c r="G48" s="18"/>
      <c r="H48" s="152"/>
      <c r="I48" s="18"/>
    </row>
    <row r="49" ht="14.85" customHeight="1" spans="1:9">
      <c r="A49" s="229"/>
      <c r="B49" s="230"/>
      <c r="C49" s="230"/>
      <c r="D49" s="230"/>
      <c r="E49" s="230"/>
      <c r="F49" s="230"/>
      <c r="G49" s="231" t="s">
        <v>22</v>
      </c>
      <c r="H49" s="232"/>
      <c r="I49" s="18"/>
    </row>
    <row r="50" spans="1:9">
      <c r="A50" s="18"/>
      <c r="I50" s="18"/>
    </row>
    <row r="51" spans="1:1">
      <c r="A51" s="18"/>
    </row>
    <row r="52" spans="1:11">
      <c r="A52" s="228"/>
      <c r="B52" s="228"/>
      <c r="C52" s="228"/>
      <c r="D52" s="228"/>
      <c r="E52" s="228"/>
      <c r="F52" s="228"/>
      <c r="G52" s="228"/>
      <c r="H52" s="228"/>
      <c r="I52" s="228"/>
      <c r="J52" s="18"/>
      <c r="K52" s="18"/>
    </row>
    <row r="53" spans="1:1">
      <c r="A53" s="18"/>
    </row>
  </sheetData>
  <pageMargins left="0.748031496062992" right="0.196850393700787" top="0.196850393700787" bottom="0.590551181102362" header="0.511811023622047" footer="0.511811023622047"/>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1"/>
  <sheetViews>
    <sheetView showGridLines="0" tabSelected="1" workbookViewId="0">
      <selection activeCell="R8" sqref="R8"/>
    </sheetView>
  </sheetViews>
  <sheetFormatPr defaultColWidth="9" defaultRowHeight="12.75"/>
  <cols>
    <col min="1" max="1" width="7.71428571428571" customWidth="1"/>
    <col min="2" max="2" width="11" customWidth="1"/>
    <col min="3" max="3" width="10.1428571428571" customWidth="1"/>
    <col min="4" max="4" width="9.85714285714286" customWidth="1"/>
    <col min="5" max="5" width="10" customWidth="1"/>
    <col min="6" max="6" width="6.14285714285714" customWidth="1"/>
    <col min="7" max="8" width="6.57142857142857" customWidth="1"/>
    <col min="9" max="9" width="8.28571428571429" customWidth="1"/>
    <col min="10" max="10" width="7.85714285714286" customWidth="1"/>
    <col min="11" max="11" width="6.57142857142857" customWidth="1"/>
    <col min="12" max="12" width="7.14285714285714" customWidth="1"/>
    <col min="13" max="13" width="7.28571428571429" customWidth="1"/>
    <col min="14" max="14" width="7.14285714285714" customWidth="1"/>
    <col min="15" max="15" width="12.5714285714286" customWidth="1"/>
    <col min="16" max="16" width="8" customWidth="1"/>
    <col min="17" max="17" width="6.71428571428571" customWidth="1"/>
    <col min="18" max="18" width="8.57142857142857" customWidth="1"/>
  </cols>
  <sheetData>
    <row r="1" ht="14.65" customHeight="1" spans="1:18">
      <c r="A1" s="2"/>
      <c r="B1" s="3"/>
      <c r="C1" s="4"/>
      <c r="D1" s="4"/>
      <c r="E1" s="4"/>
      <c r="F1" s="4"/>
      <c r="G1" s="4"/>
      <c r="H1" s="4"/>
      <c r="I1" s="4"/>
      <c r="J1" s="4"/>
      <c r="K1" s="77"/>
      <c r="L1" s="78"/>
      <c r="M1" s="78"/>
      <c r="N1" s="78"/>
      <c r="O1" s="78"/>
      <c r="P1" s="79" t="s">
        <v>23</v>
      </c>
      <c r="Q1" s="78"/>
      <c r="R1" s="146"/>
    </row>
    <row r="2" ht="14.65" customHeight="1" spans="1:18">
      <c r="A2" s="5"/>
      <c r="B2" s="6"/>
      <c r="C2" s="7"/>
      <c r="D2" s="7"/>
      <c r="E2" s="7"/>
      <c r="F2" s="7"/>
      <c r="G2" s="7"/>
      <c r="H2" s="7"/>
      <c r="I2" s="7"/>
      <c r="J2" s="7"/>
      <c r="K2" s="80"/>
      <c r="L2" s="18"/>
      <c r="M2" s="18"/>
      <c r="N2" s="18"/>
      <c r="O2" s="18"/>
      <c r="P2" s="81"/>
      <c r="Q2" s="147" t="s">
        <v>24</v>
      </c>
      <c r="R2" s="148"/>
    </row>
    <row r="3" ht="14.65" customHeight="1" spans="1:18">
      <c r="A3" s="5"/>
      <c r="B3" s="6"/>
      <c r="C3" s="8"/>
      <c r="D3" s="8"/>
      <c r="E3" s="8"/>
      <c r="F3" s="8"/>
      <c r="G3" s="8"/>
      <c r="H3" s="8"/>
      <c r="I3" s="8"/>
      <c r="J3" s="8"/>
      <c r="K3" s="82"/>
      <c r="L3" s="18"/>
      <c r="M3" s="18"/>
      <c r="N3" s="18"/>
      <c r="O3" s="18"/>
      <c r="P3" s="83" t="s">
        <v>25</v>
      </c>
      <c r="Q3" s="141" t="s">
        <v>26</v>
      </c>
      <c r="R3" s="149"/>
    </row>
    <row r="4" ht="14.65" customHeight="1" spans="1:18">
      <c r="A4" s="5"/>
      <c r="B4" s="6"/>
      <c r="C4" s="8"/>
      <c r="D4" s="8"/>
      <c r="E4" s="8"/>
      <c r="F4" s="8"/>
      <c r="G4" s="8"/>
      <c r="H4" s="8"/>
      <c r="I4" s="8"/>
      <c r="J4" s="8"/>
      <c r="K4" s="82"/>
      <c r="L4" s="18"/>
      <c r="M4" s="18"/>
      <c r="N4" s="18"/>
      <c r="O4" s="18"/>
      <c r="P4" s="81"/>
      <c r="Q4" s="53"/>
      <c r="R4" s="148"/>
    </row>
    <row r="5" ht="24.75" customHeight="1" spans="1:18">
      <c r="A5" s="9"/>
      <c r="B5" s="10"/>
      <c r="C5" s="11"/>
      <c r="D5" s="11"/>
      <c r="E5" s="11"/>
      <c r="F5" s="11"/>
      <c r="G5" s="11"/>
      <c r="H5" s="11"/>
      <c r="I5" s="11"/>
      <c r="J5" s="11"/>
      <c r="K5" s="84"/>
      <c r="L5" s="18"/>
      <c r="M5" s="18"/>
      <c r="N5" s="18"/>
      <c r="O5" s="18"/>
      <c r="P5" s="85" t="s">
        <v>27</v>
      </c>
      <c r="Q5" s="150"/>
      <c r="R5" s="149"/>
    </row>
    <row r="6" ht="24.75" customHeight="1" spans="1:18">
      <c r="A6" s="12" t="s">
        <v>28</v>
      </c>
      <c r="B6" s="13"/>
      <c r="C6" s="13"/>
      <c r="D6" s="13"/>
      <c r="E6" s="13"/>
      <c r="F6" s="13"/>
      <c r="G6" s="13"/>
      <c r="H6" s="13"/>
      <c r="I6" s="13"/>
      <c r="J6" s="13"/>
      <c r="K6" s="13"/>
      <c r="L6" s="13"/>
      <c r="M6" s="13"/>
      <c r="N6" s="13"/>
      <c r="O6" s="13"/>
      <c r="P6" s="13"/>
      <c r="Q6" s="13"/>
      <c r="R6" s="151"/>
    </row>
    <row r="7" ht="25.35" customHeight="1" spans="1:18">
      <c r="A7" s="14" t="s">
        <v>29</v>
      </c>
      <c r="B7" s="15"/>
      <c r="C7" s="16"/>
      <c r="D7" s="16"/>
      <c r="E7" s="16"/>
      <c r="F7" s="16"/>
      <c r="G7" s="237" t="s">
        <v>30</v>
      </c>
      <c r="H7" s="16"/>
      <c r="I7" s="86"/>
      <c r="J7" s="86"/>
      <c r="K7" s="18"/>
      <c r="L7" s="18"/>
      <c r="M7" s="18"/>
      <c r="N7" s="18"/>
      <c r="O7" s="238" t="s">
        <v>31</v>
      </c>
      <c r="Q7" s="15"/>
      <c r="R7" s="152"/>
    </row>
    <row r="8" ht="20.25" customHeight="1" spans="1:18">
      <c r="A8" s="239" t="s">
        <v>32</v>
      </c>
      <c r="B8" s="16"/>
      <c r="C8" s="16"/>
      <c r="D8" s="16"/>
      <c r="E8" s="16"/>
      <c r="F8" s="16"/>
      <c r="G8" s="237" t="s">
        <v>33</v>
      </c>
      <c r="H8" s="16"/>
      <c r="I8" s="86"/>
      <c r="J8" s="86"/>
      <c r="K8" s="18"/>
      <c r="L8" s="18"/>
      <c r="M8" s="18"/>
      <c r="N8" s="18"/>
      <c r="O8" s="87" t="s">
        <v>34</v>
      </c>
      <c r="P8" s="87"/>
      <c r="Q8" s="15"/>
      <c r="R8" s="152"/>
    </row>
    <row r="9" ht="20.25" customHeight="1" spans="1:18">
      <c r="A9" s="239" t="s">
        <v>35</v>
      </c>
      <c r="B9" s="16"/>
      <c r="C9" s="16"/>
      <c r="D9" s="16"/>
      <c r="E9" s="16"/>
      <c r="F9" s="16"/>
      <c r="G9" s="237" t="s">
        <v>36</v>
      </c>
      <c r="H9" s="16"/>
      <c r="I9" s="86"/>
      <c r="J9" s="86"/>
      <c r="K9" s="18"/>
      <c r="L9" s="18"/>
      <c r="M9" s="18"/>
      <c r="N9" s="18"/>
      <c r="O9" s="88" t="s">
        <v>37</v>
      </c>
      <c r="P9" s="87"/>
      <c r="Q9" s="89"/>
      <c r="R9" s="152"/>
    </row>
    <row r="10" ht="14.25" spans="1:18">
      <c r="A10" s="239" t="s">
        <v>38</v>
      </c>
      <c r="B10" s="18"/>
      <c r="C10" s="19"/>
      <c r="D10" s="16"/>
      <c r="E10" s="16"/>
      <c r="F10" s="16"/>
      <c r="G10" s="16"/>
      <c r="H10" s="16"/>
      <c r="I10" s="86"/>
      <c r="J10" s="86"/>
      <c r="K10" s="89"/>
      <c r="L10" s="18"/>
      <c r="M10" s="18"/>
      <c r="N10" s="18"/>
      <c r="O10" s="18"/>
      <c r="P10" s="89"/>
      <c r="Q10" s="153"/>
      <c r="R10" s="152"/>
    </row>
    <row r="11" ht="14.25" spans="1:18">
      <c r="A11" s="14"/>
      <c r="B11" s="18"/>
      <c r="C11" s="16"/>
      <c r="D11" s="16"/>
      <c r="E11" s="16"/>
      <c r="F11" s="16"/>
      <c r="G11" s="16"/>
      <c r="H11" s="16"/>
      <c r="I11" s="86"/>
      <c r="J11" s="86"/>
      <c r="K11" s="89"/>
      <c r="L11" s="18"/>
      <c r="M11" s="18"/>
      <c r="N11" s="18"/>
      <c r="O11" s="18"/>
      <c r="P11" s="89"/>
      <c r="Q11" s="153"/>
      <c r="R11" s="152"/>
    </row>
    <row r="12" ht="18.2" customHeight="1" spans="1:18">
      <c r="A12" s="20" t="s">
        <v>39</v>
      </c>
      <c r="B12" s="240" t="s">
        <v>40</v>
      </c>
      <c r="C12" s="22"/>
      <c r="D12" s="22"/>
      <c r="E12" s="22"/>
      <c r="F12" s="22"/>
      <c r="G12" s="22"/>
      <c r="H12" s="22"/>
      <c r="I12" s="22"/>
      <c r="J12" s="22"/>
      <c r="K12" s="53"/>
      <c r="L12" s="53"/>
      <c r="M12" s="53"/>
      <c r="N12" s="53"/>
      <c r="O12" s="53"/>
      <c r="P12" s="90"/>
      <c r="Q12" s="90"/>
      <c r="R12" s="152"/>
    </row>
    <row r="13" spans="1:18">
      <c r="A13" s="23" t="s">
        <v>41</v>
      </c>
      <c r="B13" s="24" t="s">
        <v>42</v>
      </c>
      <c r="C13" s="25"/>
      <c r="D13" s="26" t="s">
        <v>43</v>
      </c>
      <c r="E13" s="27"/>
      <c r="F13" s="28" t="s">
        <v>44</v>
      </c>
      <c r="G13" s="29"/>
      <c r="H13" s="24" t="s">
        <v>45</v>
      </c>
      <c r="I13" s="91" t="s">
        <v>46</v>
      </c>
      <c r="J13" s="91" t="s">
        <v>47</v>
      </c>
      <c r="K13" s="24" t="s">
        <v>48</v>
      </c>
      <c r="L13" s="92" t="s">
        <v>49</v>
      </c>
      <c r="M13" s="92" t="s">
        <v>50</v>
      </c>
      <c r="N13" s="93" t="s">
        <v>51</v>
      </c>
      <c r="O13" s="94" t="s">
        <v>52</v>
      </c>
      <c r="P13" s="92" t="s">
        <v>53</v>
      </c>
      <c r="Q13" s="93" t="s">
        <v>54</v>
      </c>
      <c r="R13" s="154" t="s">
        <v>55</v>
      </c>
    </row>
    <row r="14" spans="1:22">
      <c r="A14" s="23" t="s">
        <v>56</v>
      </c>
      <c r="B14" s="24" t="s">
        <v>57</v>
      </c>
      <c r="C14" s="24" t="s">
        <v>58</v>
      </c>
      <c r="D14" s="24" t="s">
        <v>59</v>
      </c>
      <c r="E14" s="24" t="s">
        <v>60</v>
      </c>
      <c r="F14" s="24" t="s">
        <v>61</v>
      </c>
      <c r="G14" s="24" t="s">
        <v>62</v>
      </c>
      <c r="H14" s="24" t="s">
        <v>63</v>
      </c>
      <c r="I14" s="91" t="s">
        <v>64</v>
      </c>
      <c r="J14" s="91"/>
      <c r="K14" s="24"/>
      <c r="L14" s="92"/>
      <c r="M14" s="92"/>
      <c r="N14" s="93" t="s">
        <v>65</v>
      </c>
      <c r="O14" s="95" t="s">
        <v>66</v>
      </c>
      <c r="P14" s="92" t="s">
        <v>66</v>
      </c>
      <c r="Q14" s="93"/>
      <c r="R14" s="155"/>
      <c r="V14" t="s">
        <v>67</v>
      </c>
    </row>
    <row r="15" spans="1:18">
      <c r="A15" s="30"/>
      <c r="B15" s="27"/>
      <c r="C15" s="27"/>
      <c r="D15" s="27"/>
      <c r="E15" s="27"/>
      <c r="F15" s="241" t="s">
        <v>68</v>
      </c>
      <c r="G15" s="241" t="s">
        <v>69</v>
      </c>
      <c r="H15" s="241" t="s">
        <v>69</v>
      </c>
      <c r="I15" s="27"/>
      <c r="J15" s="242" t="s">
        <v>70</v>
      </c>
      <c r="K15" s="241" t="s">
        <v>70</v>
      </c>
      <c r="L15" s="243" t="s">
        <v>71</v>
      </c>
      <c r="M15" s="243" t="s">
        <v>72</v>
      </c>
      <c r="N15" s="244" t="s">
        <v>73</v>
      </c>
      <c r="O15" s="99" t="s">
        <v>74</v>
      </c>
      <c r="P15" s="243" t="s">
        <v>75</v>
      </c>
      <c r="Q15" s="244" t="s">
        <v>70</v>
      </c>
      <c r="R15" s="156"/>
    </row>
    <row r="16" spans="1:18">
      <c r="A16" s="32" t="s">
        <v>76</v>
      </c>
      <c r="B16" s="33" t="s">
        <v>77</v>
      </c>
      <c r="C16" s="34">
        <v>44722</v>
      </c>
      <c r="D16" s="34">
        <v>44732</v>
      </c>
      <c r="E16" s="34">
        <v>44732</v>
      </c>
      <c r="F16" s="35" t="s">
        <v>78</v>
      </c>
      <c r="G16" s="35">
        <v>9</v>
      </c>
      <c r="H16" s="36">
        <f>E16-C16</f>
        <v>10</v>
      </c>
      <c r="I16" s="35" t="s">
        <v>79</v>
      </c>
      <c r="J16" s="100">
        <v>100</v>
      </c>
      <c r="K16" s="44">
        <v>200</v>
      </c>
      <c r="L16" s="101">
        <f>PI()*(J16/2)^2</f>
        <v>7853.98163397448</v>
      </c>
      <c r="M16" s="44">
        <v>2320</v>
      </c>
      <c r="N16" s="102">
        <v>239.47</v>
      </c>
      <c r="O16" s="103">
        <f>IF(SUM(N16/L16*1000&lt;10,(MROUND(SUM(N16/L16*1000),0.1))),(MROUND(SUM(N16/L16*1000),0.5)))</f>
        <v>30.5</v>
      </c>
      <c r="P16" s="104">
        <v>25</v>
      </c>
      <c r="Q16" s="111" t="s">
        <v>80</v>
      </c>
      <c r="R16" s="157"/>
    </row>
    <row r="17" s="1" customFormat="1" spans="1:18">
      <c r="A17" s="32" t="s">
        <v>81</v>
      </c>
      <c r="B17" s="37" t="s">
        <v>82</v>
      </c>
      <c r="C17" s="34">
        <v>44722</v>
      </c>
      <c r="D17" s="34">
        <v>44753</v>
      </c>
      <c r="E17" s="34">
        <v>44753</v>
      </c>
      <c r="F17" s="38" t="s">
        <v>78</v>
      </c>
      <c r="G17" s="38">
        <v>30</v>
      </c>
      <c r="H17" s="36">
        <f t="shared" ref="H17:H18" si="0">E17-C17</f>
        <v>31</v>
      </c>
      <c r="I17" s="38" t="s">
        <v>79</v>
      </c>
      <c r="J17" s="105">
        <v>100</v>
      </c>
      <c r="K17" s="106">
        <v>200</v>
      </c>
      <c r="L17" s="107">
        <f t="shared" ref="L17" si="1">PI()*(J17/2)^2</f>
        <v>7853.98163397448</v>
      </c>
      <c r="M17" s="106">
        <v>2352</v>
      </c>
      <c r="N17" s="108">
        <v>324.25</v>
      </c>
      <c r="O17" s="103">
        <f t="shared" ref="O17:O18" si="2">IF(SUM(N17/L17*1000&lt;10,(MROUND(SUM(N17/L17*1000),0.1))),(MROUND(SUM(N17/L17*1000),0.5)))</f>
        <v>41.5</v>
      </c>
      <c r="P17" s="109">
        <v>25</v>
      </c>
      <c r="Q17" s="158" t="s">
        <v>80</v>
      </c>
      <c r="R17" s="159"/>
    </row>
    <row r="18" spans="1:18">
      <c r="A18" s="32" t="s">
        <v>83</v>
      </c>
      <c r="B18" s="33" t="s">
        <v>84</v>
      </c>
      <c r="C18" s="34">
        <v>44722</v>
      </c>
      <c r="D18" s="34">
        <v>44753</v>
      </c>
      <c r="E18" s="34">
        <v>44753</v>
      </c>
      <c r="F18" s="38" t="s">
        <v>78</v>
      </c>
      <c r="G18" s="35">
        <v>30</v>
      </c>
      <c r="H18" s="36">
        <f t="shared" si="0"/>
        <v>31</v>
      </c>
      <c r="I18" s="38" t="s">
        <v>79</v>
      </c>
      <c r="J18" s="105">
        <v>100</v>
      </c>
      <c r="K18" s="106">
        <v>200</v>
      </c>
      <c r="L18" s="107">
        <v>7854</v>
      </c>
      <c r="M18" s="44">
        <v>2366</v>
      </c>
      <c r="N18" s="102">
        <v>316.52</v>
      </c>
      <c r="O18" s="103">
        <f t="shared" si="2"/>
        <v>40.5</v>
      </c>
      <c r="P18" s="109">
        <v>25</v>
      </c>
      <c r="Q18" s="158" t="s">
        <v>80</v>
      </c>
      <c r="R18" s="160"/>
    </row>
    <row r="19" spans="1:18">
      <c r="A19" s="32"/>
      <c r="B19" s="39"/>
      <c r="C19" s="34"/>
      <c r="D19" s="34"/>
      <c r="E19" s="34"/>
      <c r="F19" s="38"/>
      <c r="G19" s="35"/>
      <c r="H19" s="40"/>
      <c r="I19" s="38"/>
      <c r="J19" s="105"/>
      <c r="K19" s="106"/>
      <c r="L19" s="107"/>
      <c r="M19" s="44"/>
      <c r="N19" s="102"/>
      <c r="O19" s="110"/>
      <c r="P19" s="109"/>
      <c r="Q19" s="158"/>
      <c r="R19" s="160"/>
    </row>
    <row r="20" spans="1:18">
      <c r="A20" s="32"/>
      <c r="B20" s="39"/>
      <c r="C20" s="41"/>
      <c r="D20" s="34"/>
      <c r="E20" s="34"/>
      <c r="F20" s="35"/>
      <c r="G20" s="35"/>
      <c r="H20" s="35"/>
      <c r="I20" s="35"/>
      <c r="J20" s="100"/>
      <c r="K20" s="44"/>
      <c r="L20" s="101"/>
      <c r="M20" s="111"/>
      <c r="N20" s="112"/>
      <c r="O20" s="113"/>
      <c r="P20" s="104"/>
      <c r="Q20" s="111"/>
      <c r="R20" s="160"/>
    </row>
    <row r="21" spans="1:18">
      <c r="A21" s="32"/>
      <c r="B21" s="42"/>
      <c r="C21" s="43"/>
      <c r="D21" s="34"/>
      <c r="E21" s="34"/>
      <c r="F21" s="35"/>
      <c r="G21" s="44"/>
      <c r="H21" s="35"/>
      <c r="I21" s="35"/>
      <c r="J21" s="100"/>
      <c r="K21" s="44"/>
      <c r="L21" s="101"/>
      <c r="M21" s="111"/>
      <c r="N21" s="114"/>
      <c r="O21" s="115"/>
      <c r="P21" s="116"/>
      <c r="Q21" s="44"/>
      <c r="R21" s="155"/>
    </row>
    <row r="22" spans="1:18">
      <c r="A22" s="32"/>
      <c r="B22" s="42"/>
      <c r="C22" s="43"/>
      <c r="D22" s="34"/>
      <c r="E22" s="34"/>
      <c r="F22" s="45"/>
      <c r="G22" s="46"/>
      <c r="H22" s="35"/>
      <c r="I22" s="35"/>
      <c r="J22" s="100"/>
      <c r="K22" s="44"/>
      <c r="L22" s="101"/>
      <c r="M22" s="111"/>
      <c r="N22" s="114"/>
      <c r="O22" s="115"/>
      <c r="P22" s="104"/>
      <c r="Q22" s="44"/>
      <c r="R22" s="155"/>
    </row>
    <row r="23" spans="1:18">
      <c r="A23" s="32"/>
      <c r="B23" s="42"/>
      <c r="C23" s="43"/>
      <c r="D23" s="34"/>
      <c r="E23" s="34"/>
      <c r="F23" s="18"/>
      <c r="G23" s="46"/>
      <c r="H23" s="35"/>
      <c r="I23" s="35"/>
      <c r="J23" s="100"/>
      <c r="K23" s="44"/>
      <c r="L23" s="101"/>
      <c r="M23" s="117"/>
      <c r="N23" s="114"/>
      <c r="O23" s="115"/>
      <c r="P23" s="104"/>
      <c r="Q23" s="44"/>
      <c r="R23" s="161"/>
    </row>
    <row r="24" spans="1:18">
      <c r="A24" s="32"/>
      <c r="B24" s="42"/>
      <c r="C24" s="47"/>
      <c r="D24" s="34"/>
      <c r="E24" s="34"/>
      <c r="F24" s="18"/>
      <c r="G24" s="46"/>
      <c r="H24" s="35"/>
      <c r="I24" s="35"/>
      <c r="J24" s="100"/>
      <c r="K24" s="44"/>
      <c r="L24" s="101"/>
      <c r="M24" s="117"/>
      <c r="N24" s="114"/>
      <c r="O24" s="115"/>
      <c r="P24" s="116"/>
      <c r="Q24" s="44"/>
      <c r="R24" s="161"/>
    </row>
    <row r="25" spans="1:18">
      <c r="A25" s="48"/>
      <c r="B25" s="49"/>
      <c r="C25" s="50"/>
      <c r="D25" s="51"/>
      <c r="E25" s="52"/>
      <c r="F25" s="53"/>
      <c r="G25" s="54"/>
      <c r="H25" s="55"/>
      <c r="I25" s="55"/>
      <c r="J25" s="118"/>
      <c r="K25" s="119"/>
      <c r="L25" s="116"/>
      <c r="M25" s="120"/>
      <c r="N25" s="121"/>
      <c r="O25" s="122"/>
      <c r="P25" s="123"/>
      <c r="Q25" s="162"/>
      <c r="R25" s="156"/>
    </row>
    <row r="26" spans="1:18">
      <c r="A26" s="56" t="s">
        <v>85</v>
      </c>
      <c r="B26" s="18"/>
      <c r="C26" s="18"/>
      <c r="D26" s="18"/>
      <c r="E26" s="18"/>
      <c r="F26" s="18"/>
      <c r="G26" s="18"/>
      <c r="H26" s="18"/>
      <c r="I26" s="18"/>
      <c r="J26" s="18"/>
      <c r="K26" s="18"/>
      <c r="L26" s="124" t="s">
        <v>86</v>
      </c>
      <c r="M26" s="125"/>
      <c r="N26" s="126"/>
      <c r="O26" s="127"/>
      <c r="P26" s="128"/>
      <c r="Q26" s="128"/>
      <c r="R26" s="163"/>
    </row>
    <row r="27" ht="10.5" customHeight="1" spans="1:18">
      <c r="A27" s="57"/>
      <c r="B27" s="58"/>
      <c r="C27" s="58"/>
      <c r="D27" s="58"/>
      <c r="E27" s="58"/>
      <c r="F27" s="58"/>
      <c r="G27" s="58"/>
      <c r="H27" s="58"/>
      <c r="I27" s="58"/>
      <c r="J27" s="58"/>
      <c r="K27" s="58"/>
      <c r="L27" s="129" t="s">
        <v>87</v>
      </c>
      <c r="M27" s="125"/>
      <c r="N27" s="126"/>
      <c r="O27" s="130"/>
      <c r="P27" s="18"/>
      <c r="Q27" s="18"/>
      <c r="R27" s="152"/>
    </row>
    <row r="28" ht="9.75" customHeight="1" spans="1:18">
      <c r="A28" s="57"/>
      <c r="B28" s="58"/>
      <c r="C28" s="58"/>
      <c r="D28" s="58"/>
      <c r="E28" s="58"/>
      <c r="F28" s="58"/>
      <c r="G28" s="58"/>
      <c r="H28" s="58"/>
      <c r="I28" s="58"/>
      <c r="J28" s="131"/>
      <c r="K28" s="58"/>
      <c r="L28" s="126"/>
      <c r="M28" s="126"/>
      <c r="N28" s="126"/>
      <c r="O28" s="130"/>
      <c r="P28" s="18"/>
      <c r="Q28" s="18"/>
      <c r="R28" s="152"/>
    </row>
    <row r="29" ht="10.5" customHeight="1" spans="1:18">
      <c r="A29" s="59"/>
      <c r="B29" s="18"/>
      <c r="C29" s="18"/>
      <c r="D29" s="18"/>
      <c r="E29" s="18"/>
      <c r="F29" s="18"/>
      <c r="G29" s="18"/>
      <c r="H29" s="18"/>
      <c r="I29" s="18"/>
      <c r="J29" s="132"/>
      <c r="K29" s="18"/>
      <c r="L29" s="126"/>
      <c r="M29" s="126"/>
      <c r="N29" s="126"/>
      <c r="O29" s="130"/>
      <c r="P29" s="18"/>
      <c r="Q29" s="18"/>
      <c r="R29" s="152"/>
    </row>
    <row r="30" spans="1:18">
      <c r="A30" s="59" t="s">
        <v>88</v>
      </c>
      <c r="B30" s="18"/>
      <c r="C30" s="18"/>
      <c r="D30" s="18"/>
      <c r="E30" s="18"/>
      <c r="F30" s="18"/>
      <c r="G30" s="18"/>
      <c r="H30" s="18"/>
      <c r="I30" s="18"/>
      <c r="J30" s="18"/>
      <c r="K30" s="18"/>
      <c r="L30" s="126"/>
      <c r="M30" s="126"/>
      <c r="N30" s="126"/>
      <c r="O30" s="130"/>
      <c r="P30" s="18"/>
      <c r="Q30" s="18"/>
      <c r="R30" s="152"/>
    </row>
    <row r="31" spans="1:18">
      <c r="A31" s="60"/>
      <c r="B31" s="53"/>
      <c r="C31" s="53"/>
      <c r="D31" s="53"/>
      <c r="E31" s="53"/>
      <c r="F31" s="53"/>
      <c r="G31" s="53"/>
      <c r="H31" s="53"/>
      <c r="I31" s="18"/>
      <c r="J31" s="18"/>
      <c r="K31" s="18"/>
      <c r="L31" s="126"/>
      <c r="M31" s="126"/>
      <c r="N31" s="126"/>
      <c r="O31" s="130"/>
      <c r="P31" s="18"/>
      <c r="Q31" s="18"/>
      <c r="R31" s="152"/>
    </row>
    <row r="32" spans="1:18">
      <c r="A32" s="61" t="s">
        <v>89</v>
      </c>
      <c r="B32" s="62"/>
      <c r="C32" s="63"/>
      <c r="D32" s="63"/>
      <c r="E32" s="63"/>
      <c r="F32" s="63"/>
      <c r="G32" s="63"/>
      <c r="H32" s="64"/>
      <c r="I32" s="63"/>
      <c r="J32" s="63"/>
      <c r="K32" s="67"/>
      <c r="L32" s="63"/>
      <c r="M32" s="63"/>
      <c r="N32" s="63"/>
      <c r="O32" s="133"/>
      <c r="P32" s="63"/>
      <c r="Q32" s="63"/>
      <c r="R32" s="152"/>
    </row>
    <row r="33" spans="1:18">
      <c r="A33" s="65" t="s">
        <v>90</v>
      </c>
      <c r="B33" s="66"/>
      <c r="C33" s="67"/>
      <c r="D33" s="67"/>
      <c r="E33" s="67"/>
      <c r="F33" s="67"/>
      <c r="G33" s="67"/>
      <c r="H33" s="68"/>
      <c r="I33" s="58"/>
      <c r="J33" s="58"/>
      <c r="K33" s="58"/>
      <c r="L33" s="58"/>
      <c r="M33" s="58"/>
      <c r="N33" s="58"/>
      <c r="O33" s="134"/>
      <c r="P33" s="58"/>
      <c r="Q33" s="63"/>
      <c r="R33" s="152"/>
    </row>
    <row r="34" spans="1:18">
      <c r="A34" s="69" t="s">
        <v>91</v>
      </c>
      <c r="B34" s="58"/>
      <c r="C34" s="58"/>
      <c r="D34" s="58"/>
      <c r="E34" s="58"/>
      <c r="F34" s="58"/>
      <c r="G34" s="58"/>
      <c r="H34" s="68"/>
      <c r="I34" s="58"/>
      <c r="J34" s="58"/>
      <c r="K34" s="58"/>
      <c r="L34" s="58"/>
      <c r="M34" s="58"/>
      <c r="N34" s="58"/>
      <c r="O34" s="134"/>
      <c r="P34" s="58"/>
      <c r="Q34" s="63"/>
      <c r="R34" s="152"/>
    </row>
    <row r="35" spans="1:18">
      <c r="A35" s="245" t="s">
        <v>92</v>
      </c>
      <c r="B35" s="66"/>
      <c r="C35" s="67"/>
      <c r="D35" s="67"/>
      <c r="E35" s="67"/>
      <c r="F35" s="67"/>
      <c r="G35" s="67"/>
      <c r="H35" s="68"/>
      <c r="I35" s="58"/>
      <c r="J35" s="58"/>
      <c r="K35" s="58"/>
      <c r="L35" s="58"/>
      <c r="M35" s="58"/>
      <c r="N35" s="58"/>
      <c r="O35" s="134"/>
      <c r="P35" s="58"/>
      <c r="Q35" s="63"/>
      <c r="R35" s="152"/>
    </row>
    <row r="36" spans="1:18">
      <c r="A36" s="245" t="s">
        <v>93</v>
      </c>
      <c r="B36" s="66"/>
      <c r="C36" s="67"/>
      <c r="D36" s="67"/>
      <c r="E36" s="67"/>
      <c r="F36" s="67"/>
      <c r="G36" s="67"/>
      <c r="H36" s="68"/>
      <c r="I36" s="58"/>
      <c r="J36" s="58"/>
      <c r="K36" s="58"/>
      <c r="L36" s="58"/>
      <c r="M36" s="58"/>
      <c r="N36" s="58"/>
      <c r="O36" s="135"/>
      <c r="P36" s="18"/>
      <c r="Q36" s="18"/>
      <c r="R36" s="152"/>
    </row>
    <row r="37" spans="1:18">
      <c r="A37" s="245" t="s">
        <v>94</v>
      </c>
      <c r="B37" s="66"/>
      <c r="C37" s="66"/>
      <c r="D37" s="66"/>
      <c r="E37" s="66"/>
      <c r="F37" s="66"/>
      <c r="G37" s="66"/>
      <c r="H37" s="71"/>
      <c r="I37" s="136"/>
      <c r="J37" s="137"/>
      <c r="K37" s="138"/>
      <c r="L37" s="137"/>
      <c r="M37" s="137"/>
      <c r="N37" s="137"/>
      <c r="O37" s="139"/>
      <c r="P37" s="53"/>
      <c r="Q37" s="53"/>
      <c r="R37" s="164"/>
    </row>
    <row r="38" spans="1:18">
      <c r="A38" s="245" t="s">
        <v>95</v>
      </c>
      <c r="B38" s="66"/>
      <c r="C38" s="66"/>
      <c r="D38" s="66"/>
      <c r="E38" s="66"/>
      <c r="F38" s="66"/>
      <c r="G38" s="66"/>
      <c r="H38" s="71"/>
      <c r="I38" s="18"/>
      <c r="J38" s="18"/>
      <c r="K38" s="18"/>
      <c r="L38" s="18"/>
      <c r="M38" s="18"/>
      <c r="N38" s="18"/>
      <c r="O38" s="18"/>
      <c r="P38" s="18"/>
      <c r="Q38" s="18"/>
      <c r="R38" s="152"/>
    </row>
    <row r="39" spans="1:18">
      <c r="A39" s="245" t="s">
        <v>96</v>
      </c>
      <c r="B39" s="62"/>
      <c r="C39" s="63"/>
      <c r="D39" s="63"/>
      <c r="E39" s="63"/>
      <c r="F39" s="63"/>
      <c r="G39" s="63"/>
      <c r="H39" s="68"/>
      <c r="I39" s="130" t="s">
        <v>97</v>
      </c>
      <c r="J39" s="18"/>
      <c r="K39" s="18"/>
      <c r="L39" s="18"/>
      <c r="M39" s="18"/>
      <c r="N39" s="140"/>
      <c r="O39" s="18"/>
      <c r="P39" s="141" t="s">
        <v>98</v>
      </c>
      <c r="Q39" s="18"/>
      <c r="R39" s="152"/>
    </row>
    <row r="40" spans="1:18">
      <c r="A40" s="72" t="s">
        <v>99</v>
      </c>
      <c r="B40" s="62"/>
      <c r="C40" s="63"/>
      <c r="D40" s="63"/>
      <c r="E40" s="63"/>
      <c r="F40" s="63"/>
      <c r="G40" s="63"/>
      <c r="H40" s="58"/>
      <c r="I40" s="130"/>
      <c r="J40" s="18"/>
      <c r="K40" s="18"/>
      <c r="L40" s="18"/>
      <c r="M40" s="18"/>
      <c r="N40" s="18"/>
      <c r="O40" s="18"/>
      <c r="P40" s="18"/>
      <c r="Q40" s="18"/>
      <c r="R40" s="152"/>
    </row>
    <row r="41" ht="13.5" spans="1:18">
      <c r="A41" s="246" t="s">
        <v>100</v>
      </c>
      <c r="B41" s="74"/>
      <c r="C41" s="75"/>
      <c r="D41" s="75"/>
      <c r="E41" s="75"/>
      <c r="F41" s="75"/>
      <c r="G41" s="75"/>
      <c r="H41" s="76"/>
      <c r="I41" s="142" t="s">
        <v>101</v>
      </c>
      <c r="J41" s="143"/>
      <c r="K41" s="144"/>
      <c r="L41" s="144"/>
      <c r="M41" s="144"/>
      <c r="N41" s="143"/>
      <c r="O41" s="142" t="s">
        <v>102</v>
      </c>
      <c r="P41" s="145"/>
      <c r="Q41" s="165" t="s">
        <v>103</v>
      </c>
      <c r="R41" s="166"/>
    </row>
  </sheetData>
  <mergeCells count="2">
    <mergeCell ref="A6:Q6"/>
    <mergeCell ref="F13:G13"/>
  </mergeCells>
  <printOptions verticalCentered="1"/>
  <pageMargins left="0.196850393700787" right="0.196850393700787" top="0.196850393700787" bottom="0.196850393700787" header="0.511811023622047" footer="0.511811023622047"/>
  <pageSetup paperSize="9" scale="96" orientation="landscape"/>
  <headerFooter alignWithMargins="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2.75"/>
  <sheetData/>
  <printOptions gridLines="1"/>
  <pageMargins left="0.75" right="0.75" top="1" bottom="1" header="0.5" footer="0.5"/>
  <headerFooter alignWithMargins="0">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16</vt:i4>
      </vt:variant>
    </vt:vector>
  </HeadingPairs>
  <TitlesOfParts>
    <vt:vector size="16"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SUMMARY 5 POINT CBR TEST RESULTS - CORONOUS</dc:title>
  <dc:creator>Information Services</dc:creator>
  <cp:lastModifiedBy>Leka Heve Bonoro</cp:lastModifiedBy>
  <dcterms:created xsi:type="dcterms:W3CDTF">2003-03-10T00:41:00Z</dcterms:created>
  <cp:lastPrinted>2022-03-16T23:54:00Z</cp:lastPrinted>
  <dcterms:modified xsi:type="dcterms:W3CDTF">2025-07-06T11:23:08Z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2406EA149D114A299FD014E6D1B44E12_13</vt:lpwstr>
  </property>
  <property fmtid="{D5CDD505-2E9C-101B-9397-08002B2CF9AE}" pid="3" name="KSOProductBuildVer">
    <vt:lpwstr>1033-12.2.0.21546</vt:lpwstr>
  </property>
</Properties>
</file>
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500"/>
  </bookViews>
  <sheets>
    <sheet name="Service Quote" sheetId="1" r:id="rId1"/>
    <sheet name="Sheet1" sheetId="2" r:id="rId2"/>
  </sheets>
  <definedNames>
    <definedName name="_xlnm.Print_Area" localSheetId="0">'Service Quote'!$A$1:$H$49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<sst xmlns="http://schemas.openxmlformats.org/spreadsheetml/2006/main" count="68" uniqueCount="56">
  <si>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 xml:space="preserve">            Quotation</t>
  </si>
  <si>
    <t xml:space="preserve">DEPARTMENT OF WORKS AND HIGHWAYS </t>
  </si>
  <si>
    <t>MATERIAL SCIENCE AND TECHNOLOGY BRANCH</t>
  </si>
  <si>
    <t>Date:         12/02/2024</t>
  </si>
  <si>
    <t>Quotation #:  04P/24</t>
  </si>
  <si>
    <t>To:</t>
  </si>
  <si>
    <t>The Client</t>
  </si>
  <si>
    <t>Mr. Jeffrey Judge</t>
  </si>
  <si>
    <t>P.O. BOX 1380</t>
  </si>
  <si>
    <t>VISION CITY, NCD, PNG</t>
  </si>
  <si>
    <t>ATTENTION:   Mr. JEFFREY JUDGE</t>
  </si>
  <si>
    <t>Officer</t>
  </si>
  <si>
    <t>Job</t>
  </si>
  <si>
    <t>Due Date</t>
  </si>
  <si>
    <t>Nickson Koms</t>
  </si>
  <si>
    <t>Proposed 3 x Storey Office Building Development</t>
  </si>
  <si>
    <t>NA</t>
  </si>
  <si>
    <t>ITEM</t>
  </si>
  <si>
    <t>Description</t>
  </si>
  <si>
    <t>QTY</t>
  </si>
  <si>
    <t>Unit</t>
  </si>
  <si>
    <t>Rate</t>
  </si>
  <si>
    <t>Total</t>
  </si>
  <si>
    <t>MOBILISATION &amp; ESTABLISHMENT,and  DEMOBILIZATION</t>
  </si>
  <si>
    <t>Incidental allowance (Personal /K100) x 3 personals</t>
  </si>
  <si>
    <t>Days</t>
  </si>
  <si>
    <t>Equipment – Backhoe (4hrs x 1 day)</t>
  </si>
  <si>
    <t>hrs</t>
  </si>
  <si>
    <t>Vehicle hire - to be provided by the client</t>
  </si>
  <si>
    <t>SUB TOTAL</t>
  </si>
  <si>
    <t>FIELD WORK</t>
  </si>
  <si>
    <t>Manhours  (5hrs x 3 personals)</t>
  </si>
  <si>
    <t>Dynamic Cone Penetrometer Test (4x for building &amp; 4x for Carpark &amp; Driveways)</t>
  </si>
  <si>
    <t>No</t>
  </si>
  <si>
    <t>LABORATORY TESTING</t>
  </si>
  <si>
    <t>Laboratory Test List</t>
  </si>
  <si>
    <t>3.1.1</t>
  </si>
  <si>
    <t>Natural Moisture Content</t>
  </si>
  <si>
    <t>No.</t>
  </si>
  <si>
    <t>3.1.2</t>
  </si>
  <si>
    <t>Atterberg Limits</t>
  </si>
  <si>
    <t>3.1.3</t>
  </si>
  <si>
    <t>Linear Shrinkage</t>
  </si>
  <si>
    <t>3.1.4</t>
  </si>
  <si>
    <t>Particle Size Distribution - Sieve(wet)</t>
  </si>
  <si>
    <t>3.1.5</t>
  </si>
  <si>
    <t>Compaction Test - Standard (Car Park)</t>
  </si>
  <si>
    <t>3.1.6</t>
  </si>
  <si>
    <t xml:space="preserve">CBR - Remoulded Specimen- 4 days Soaked (Car Park) </t>
  </si>
  <si>
    <t>DATA COMPILATION AND REPORTING</t>
  </si>
  <si>
    <t>Analysing and Reporting of Draft Reports</t>
  </si>
  <si>
    <t>Analysing and Reporting of Final Reports</t>
  </si>
  <si>
    <t>Subtotal</t>
  </si>
  <si>
    <t>3 % Admin</t>
  </si>
  <si>
    <t>Grand Total</t>
  </si>
  <si>
    <t>P.O. Box 1108, Boroko  NCD   Phone: 324 1372  Fax: 324 1374   E-mail: lhbonoro@works.gov.pg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</si>
</sst>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3" formatCode="_(* #,##0.00_);_(* \(#,##0.00\);_(* &quot;-&quot;??_);_(@_)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 * #,##0_ ;_ * \-#,##0_ ;_ * &quot;-&quot;_ ;_ @_ "/>
    <numFmt numFmtId="179" formatCode="_-[$PGK]\ * #,##0.00_-;\-[$PGK]\ * #,##0.00_-;_-[$PGK]\ * &quot;-&quot;??_-;_-@_-"/>
    <numFmt numFmtId="180" formatCode="[$-409]mmmm\ d\,\ yyyy;@"/>
    <numFmt numFmtId="181" formatCode="m/d/yy;@"/>
    <numFmt numFmtId="182" formatCode="0.0"/>
    <numFmt numFmtId="183" formatCode="&quot;$&quot;#,##0.00"/>
    <numFmt numFmtId="184" formatCode="[$PGK]\ #,##0.00"/>
  </numFmts>
  <fonts count="43">
    <font>
      <sz val="10"/>
      <name val="Arial"/>
      <charset val="134"/>
    </font>
    <font>
      <sz val="8"/>
      <name val="Century Gothic"/>
      <charset val="134"/>
    </font>
    <font>
      <sz val="10"/>
      <name val="Century Gothic"/>
      <charset val="134"/>
    </font>
    <font>
      <sz val="12"/>
      <name val="Century Gothic"/>
      <charset val="134"/>
    </font>
    <font>
      <sz val="38"/>
      <color theme="4" tint="-0.249977111117893"/>
      <name val="Century Gothic"/>
      <charset val="134"/>
    </font>
    <font>
      <sz val="38"/>
      <color indexed="44"/>
      <name val="Century Gothic"/>
      <charset val="134"/>
    </font>
    <font>
      <sz val="14"/>
      <name val="Century Gothic"/>
      <charset val="134"/>
    </font>
    <font>
      <sz val="16"/>
      <color rgb="FF00B050"/>
      <name val="Century Gothic"/>
      <charset val="134"/>
    </font>
    <font>
      <sz val="7.5"/>
      <color indexed="23"/>
      <name val="Century Gothic"/>
      <charset val="134"/>
    </font>
    <font>
      <b/>
      <sz val="8"/>
      <name val="Century Gothic"/>
      <charset val="134"/>
    </font>
    <font>
      <sz val="8"/>
      <color theme="4" tint="-0.249977111117893"/>
      <name val="Century Gothic"/>
      <charset val="134"/>
    </font>
    <font>
      <sz val="7.5"/>
      <color theme="4" tint="-0.249977111117893"/>
      <name val="Century Gothic"/>
      <charset val="134"/>
    </font>
    <font>
      <b/>
      <sz val="7.5"/>
      <name val="Century Gothic"/>
      <charset val="134"/>
    </font>
    <font>
      <sz val="7.5"/>
      <name val="Century Gothic"/>
      <charset val="134"/>
    </font>
    <font>
      <sz val="7"/>
      <name val="Century Gothic"/>
      <charset val="134"/>
    </font>
    <font>
      <b/>
      <i/>
      <sz val="7.5"/>
      <name val="Century Gothic"/>
      <charset val="134"/>
    </font>
    <font>
      <sz val="8"/>
      <color rgb="FF00B050"/>
      <name val="Century Gothic"/>
      <charset val="134"/>
    </font>
    <font>
      <sz val="8"/>
      <color indexed="23"/>
      <name val="Century Gothic"/>
      <charset val="134"/>
    </font>
    <font>
      <b/>
      <sz val="10"/>
      <name val="Century Gothic"/>
      <charset val="134"/>
    </font>
    <font>
      <b/>
      <i/>
      <sz val="10"/>
      <color indexed="46"/>
      <name val="Century Gothic"/>
      <charset val="134"/>
    </font>
    <font>
      <sz val="10"/>
      <color indexed="46"/>
      <name val="Century Gothic"/>
      <charset val="134"/>
    </font>
    <font>
      <b/>
      <sz val="10"/>
      <color indexed="41"/>
      <name val="Century Gothic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9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22" applyNumberFormat="0" applyAlignment="0" applyProtection="0">
      <alignment vertical="center"/>
    </xf>
    <xf numFmtId="0" fontId="33" fillId="11" borderId="23" applyNumberFormat="0" applyAlignment="0" applyProtection="0">
      <alignment vertical="center"/>
    </xf>
    <xf numFmtId="0" fontId="34" fillId="11" borderId="22" applyNumberFormat="0" applyAlignment="0" applyProtection="0">
      <alignment vertical="center"/>
    </xf>
    <xf numFmtId="0" fontId="35" fillId="12" borderId="24" applyNumberFormat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4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179" fontId="2" fillId="0" borderId="0" xfId="0" applyNumberFormat="1" applyFont="1"/>
    <xf numFmtId="0" fontId="3" fillId="2" borderId="0" xfId="0" applyFont="1" applyFill="1" applyBorder="1" applyAlignment="1">
      <alignment horizontal="left" indent="1"/>
    </xf>
    <xf numFmtId="0" fontId="2" fillId="0" borderId="0" xfId="0" applyFont="1" applyBorder="1"/>
    <xf numFmtId="0" fontId="4" fillId="2" borderId="0" xfId="0" applyFont="1" applyFill="1" applyBorder="1" applyAlignment="1">
      <alignment horizontal="center"/>
    </xf>
    <xf numFmtId="179" fontId="5" fillId="2" borderId="0" xfId="0" applyNumberFormat="1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0" fillId="0" borderId="0" xfId="0" applyBorder="1"/>
    <xf numFmtId="0" fontId="5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179" fontId="3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180" fontId="1" fillId="2" borderId="0" xfId="0" applyNumberFormat="1" applyFont="1" applyFill="1" applyBorder="1" applyAlignment="1">
      <alignment horizontal="left"/>
    </xf>
    <xf numFmtId="0" fontId="2" fillId="2" borderId="0" xfId="0" applyFont="1" applyFill="1"/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horizontal="left" vertical="top"/>
    </xf>
    <xf numFmtId="179" fontId="1" fillId="0" borderId="0" xfId="0" applyNumberFormat="1" applyFont="1" applyBorder="1"/>
    <xf numFmtId="0" fontId="1" fillId="0" borderId="0" xfId="0" applyFont="1" applyBorder="1"/>
    <xf numFmtId="0" fontId="1" fillId="2" borderId="0" xfId="0" applyFont="1" applyFill="1"/>
    <xf numFmtId="0" fontId="1" fillId="2" borderId="0" xfId="0" applyFont="1" applyFill="1" applyBorder="1"/>
    <xf numFmtId="180" fontId="9" fillId="2" borderId="0" xfId="0" applyNumberFormat="1" applyFont="1" applyFill="1" applyBorder="1" applyAlignment="1">
      <alignment horizontal="left"/>
    </xf>
    <xf numFmtId="179" fontId="1" fillId="2" borderId="0" xfId="0" applyNumberFormat="1" applyFont="1" applyFill="1" applyBorder="1"/>
    <xf numFmtId="0" fontId="9" fillId="2" borderId="0" xfId="0" applyFont="1" applyFill="1" applyBorder="1" applyAlignment="1">
      <alignment horizontal="left"/>
    </xf>
    <xf numFmtId="0" fontId="9" fillId="0" borderId="0" xfId="0" applyFont="1"/>
    <xf numFmtId="179" fontId="1" fillId="2" borderId="0" xfId="0" applyNumberFormat="1" applyFont="1" applyFill="1" applyBorder="1" applyAlignment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79" fontId="1" fillId="2" borderId="0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79" fontId="2" fillId="2" borderId="0" xfId="0" applyNumberFormat="1" applyFont="1" applyFill="1" applyBorder="1" applyAlignment="1">
      <alignment horizontal="left"/>
    </xf>
    <xf numFmtId="0" fontId="1" fillId="0" borderId="5" xfId="0" applyFont="1" applyBorder="1"/>
    <xf numFmtId="0" fontId="9" fillId="0" borderId="6" xfId="0" applyFont="1" applyBorder="1"/>
    <xf numFmtId="0" fontId="9" fillId="2" borderId="0" xfId="0" applyFont="1" applyFill="1" applyBorder="1" applyAlignment="1"/>
    <xf numFmtId="0" fontId="9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10" fillId="2" borderId="8" xfId="0" applyNumberFormat="1" applyFont="1" applyFill="1" applyBorder="1" applyAlignment="1">
      <alignment horizontal="center" vertical="center"/>
    </xf>
    <xf numFmtId="0" fontId="10" fillId="2" borderId="9" xfId="0" applyNumberFormat="1" applyFont="1" applyFill="1" applyBorder="1" applyAlignment="1">
      <alignment horizontal="center" vertical="center"/>
    </xf>
    <xf numFmtId="0" fontId="10" fillId="2" borderId="10" xfId="0" applyNumberFormat="1" applyFont="1" applyFill="1" applyBorder="1" applyAlignment="1">
      <alignment horizontal="center" vertical="center"/>
    </xf>
    <xf numFmtId="181" fontId="11" fillId="0" borderId="7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182" fontId="12" fillId="4" borderId="7" xfId="0" applyNumberFormat="1" applyFont="1" applyFill="1" applyBorder="1" applyAlignment="1">
      <alignment horizontal="center" vertical="center"/>
    </xf>
    <xf numFmtId="0" fontId="12" fillId="4" borderId="8" xfId="0" applyNumberFormat="1" applyFont="1" applyFill="1" applyBorder="1" applyAlignment="1">
      <alignment horizontal="left" vertical="center"/>
    </xf>
    <xf numFmtId="0" fontId="12" fillId="4" borderId="10" xfId="0" applyNumberFormat="1" applyFont="1" applyFill="1" applyBorder="1" applyAlignment="1">
      <alignment horizontal="left" vertical="center"/>
    </xf>
    <xf numFmtId="0" fontId="12" fillId="4" borderId="9" xfId="0" applyNumberFormat="1" applyFont="1" applyFill="1" applyBorder="1" applyAlignment="1">
      <alignment horizontal="left" vertical="center"/>
    </xf>
    <xf numFmtId="0" fontId="13" fillId="2" borderId="7" xfId="0" applyNumberFormat="1" applyFont="1" applyFill="1" applyBorder="1" applyAlignment="1">
      <alignment horizontal="center" vertical="center"/>
    </xf>
    <xf numFmtId="0" fontId="13" fillId="2" borderId="8" xfId="0" applyNumberFormat="1" applyFont="1" applyFill="1" applyBorder="1" applyAlignment="1">
      <alignment horizontal="left" vertical="center"/>
    </xf>
    <xf numFmtId="0" fontId="13" fillId="2" borderId="10" xfId="0" applyNumberFormat="1" applyFont="1" applyFill="1" applyBorder="1" applyAlignment="1">
      <alignment horizontal="left" vertical="center"/>
    </xf>
    <xf numFmtId="0" fontId="13" fillId="2" borderId="9" xfId="0" applyNumberFormat="1" applyFont="1" applyFill="1" applyBorder="1" applyAlignment="1">
      <alignment horizontal="left" vertical="center"/>
    </xf>
    <xf numFmtId="0" fontId="1" fillId="2" borderId="7" xfId="0" applyNumberFormat="1" applyFont="1" applyFill="1" applyBorder="1" applyAlignment="1">
      <alignment horizontal="center" vertical="center"/>
    </xf>
    <xf numFmtId="179" fontId="1" fillId="2" borderId="7" xfId="0" applyNumberFormat="1" applyFont="1" applyFill="1" applyBorder="1" applyAlignment="1">
      <alignment vertical="center"/>
    </xf>
    <xf numFmtId="179" fontId="13" fillId="3" borderId="7" xfId="1" applyNumberFormat="1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left" vertical="center" wrapText="1"/>
    </xf>
    <xf numFmtId="0" fontId="12" fillId="5" borderId="8" xfId="0" applyNumberFormat="1" applyFont="1" applyFill="1" applyBorder="1" applyAlignment="1">
      <alignment horizontal="left" vertical="center" wrapText="1"/>
    </xf>
    <xf numFmtId="0" fontId="12" fillId="5" borderId="10" xfId="0" applyNumberFormat="1" applyFont="1" applyFill="1" applyBorder="1" applyAlignment="1">
      <alignment horizontal="left" vertical="center" wrapText="1"/>
    </xf>
    <xf numFmtId="0" fontId="12" fillId="5" borderId="9" xfId="0" applyNumberFormat="1" applyFont="1" applyFill="1" applyBorder="1" applyAlignment="1">
      <alignment horizontal="left" vertical="center" wrapText="1"/>
    </xf>
    <xf numFmtId="176" fontId="12" fillId="6" borderId="7" xfId="1" applyFont="1" applyFill="1" applyBorder="1" applyAlignment="1">
      <alignment horizontal="center" vertical="center" wrapText="1"/>
    </xf>
    <xf numFmtId="0" fontId="13" fillId="2" borderId="7" xfId="0" applyNumberFormat="1" applyFont="1" applyFill="1" applyBorder="1" applyAlignment="1">
      <alignment horizontal="center" vertical="center" wrapText="1"/>
    </xf>
    <xf numFmtId="43" fontId="13" fillId="2" borderId="7" xfId="0" applyNumberFormat="1" applyFont="1" applyFill="1" applyBorder="1" applyAlignment="1">
      <alignment vertical="center" wrapText="1"/>
    </xf>
    <xf numFmtId="179" fontId="12" fillId="7" borderId="7" xfId="2" applyNumberFormat="1" applyFont="1" applyFill="1" applyBorder="1" applyAlignment="1">
      <alignment vertical="center" wrapText="1"/>
    </xf>
    <xf numFmtId="0" fontId="12" fillId="4" borderId="8" xfId="0" applyNumberFormat="1" applyFont="1" applyFill="1" applyBorder="1" applyAlignment="1">
      <alignment horizontal="left" vertical="center" wrapText="1"/>
    </xf>
    <xf numFmtId="0" fontId="12" fillId="4" borderId="10" xfId="0" applyNumberFormat="1" applyFont="1" applyFill="1" applyBorder="1" applyAlignment="1">
      <alignment horizontal="left" vertical="center" wrapText="1"/>
    </xf>
    <xf numFmtId="0" fontId="12" fillId="4" borderId="9" xfId="0" applyNumberFormat="1" applyFont="1" applyFill="1" applyBorder="1" applyAlignment="1">
      <alignment horizontal="left" vertical="center" wrapText="1"/>
    </xf>
    <xf numFmtId="0" fontId="13" fillId="2" borderId="8" xfId="0" applyNumberFormat="1" applyFont="1" applyFill="1" applyBorder="1" applyAlignment="1">
      <alignment horizontal="left" vertical="center" wrapText="1"/>
    </xf>
    <xf numFmtId="0" fontId="13" fillId="2" borderId="10" xfId="0" applyNumberFormat="1" applyFont="1" applyFill="1" applyBorder="1" applyAlignment="1">
      <alignment horizontal="left" vertical="center" wrapText="1"/>
    </xf>
    <xf numFmtId="0" fontId="13" fillId="2" borderId="9" xfId="0" applyNumberFormat="1" applyFont="1" applyFill="1" applyBorder="1" applyAlignment="1">
      <alignment horizontal="left" vertical="center" wrapText="1"/>
    </xf>
    <xf numFmtId="179" fontId="13" fillId="2" borderId="7" xfId="0" applyNumberFormat="1" applyFont="1" applyFill="1" applyBorder="1" applyAlignment="1">
      <alignment vertical="center"/>
    </xf>
    <xf numFmtId="179" fontId="13" fillId="3" borderId="7" xfId="0" applyNumberFormat="1" applyFont="1" applyFill="1" applyBorder="1" applyAlignment="1">
      <alignment vertical="center"/>
    </xf>
    <xf numFmtId="0" fontId="14" fillId="2" borderId="8" xfId="0" applyNumberFormat="1" applyFont="1" applyFill="1" applyBorder="1" applyAlignment="1">
      <alignment horizontal="left" vertical="center" wrapText="1"/>
    </xf>
    <xf numFmtId="0" fontId="14" fillId="2" borderId="10" xfId="0" applyNumberFormat="1" applyFont="1" applyFill="1" applyBorder="1" applyAlignment="1">
      <alignment horizontal="left" vertical="center" wrapText="1"/>
    </xf>
    <xf numFmtId="0" fontId="14" fillId="2" borderId="9" xfId="0" applyNumberFormat="1" applyFont="1" applyFill="1" applyBorder="1" applyAlignment="1">
      <alignment horizontal="left" vertical="center" wrapText="1"/>
    </xf>
    <xf numFmtId="4" fontId="12" fillId="6" borderId="7" xfId="0" applyNumberFormat="1" applyFont="1" applyFill="1" applyBorder="1" applyAlignment="1">
      <alignment horizontal="center" vertical="center"/>
    </xf>
    <xf numFmtId="43" fontId="13" fillId="2" borderId="7" xfId="0" applyNumberFormat="1" applyFont="1" applyFill="1" applyBorder="1" applyAlignment="1">
      <alignment vertical="center"/>
    </xf>
    <xf numFmtId="179" fontId="12" fillId="7" borderId="7" xfId="0" applyNumberFormat="1" applyFont="1" applyFill="1" applyBorder="1" applyAlignment="1">
      <alignment vertical="center"/>
    </xf>
    <xf numFmtId="0" fontId="12" fillId="4" borderId="8" xfId="0" applyNumberFormat="1" applyFont="1" applyFill="1" applyBorder="1" applyAlignment="1">
      <alignment vertical="center"/>
    </xf>
    <xf numFmtId="0" fontId="12" fillId="4" borderId="10" xfId="0" applyNumberFormat="1" applyFont="1" applyFill="1" applyBorder="1" applyAlignment="1">
      <alignment vertical="center"/>
    </xf>
    <xf numFmtId="0" fontId="12" fillId="4" borderId="9" xfId="0" applyNumberFormat="1" applyFont="1" applyFill="1" applyBorder="1" applyAlignment="1">
      <alignment vertical="center"/>
    </xf>
    <xf numFmtId="182" fontId="13" fillId="6" borderId="7" xfId="0" applyNumberFormat="1" applyFont="1" applyFill="1" applyBorder="1" applyAlignment="1">
      <alignment horizontal="center" vertical="center"/>
    </xf>
    <xf numFmtId="0" fontId="15" fillId="6" borderId="8" xfId="0" applyNumberFormat="1" applyFont="1" applyFill="1" applyBorder="1" applyAlignment="1">
      <alignment horizontal="left" vertical="center"/>
    </xf>
    <xf numFmtId="0" fontId="15" fillId="6" borderId="10" xfId="0" applyNumberFormat="1" applyFont="1" applyFill="1" applyBorder="1" applyAlignment="1">
      <alignment horizontal="left" vertical="center"/>
    </xf>
    <xf numFmtId="0" fontId="15" fillId="6" borderId="9" xfId="0" applyNumberFormat="1" applyFont="1" applyFill="1" applyBorder="1" applyAlignment="1">
      <alignment horizontal="left" vertical="center"/>
    </xf>
    <xf numFmtId="0" fontId="13" fillId="6" borderId="7" xfId="0" applyNumberFormat="1" applyFont="1" applyFill="1" applyBorder="1" applyAlignment="1">
      <alignment horizontal="center" vertical="center"/>
    </xf>
    <xf numFmtId="0" fontId="13" fillId="2" borderId="7" xfId="0" applyNumberFormat="1" applyFont="1" applyFill="1" applyBorder="1" applyAlignment="1">
      <alignment horizontal="left" vertical="center" wrapText="1"/>
    </xf>
    <xf numFmtId="179" fontId="13" fillId="2" borderId="9" xfId="0" applyNumberFormat="1" applyFont="1" applyFill="1" applyBorder="1" applyAlignment="1">
      <alignment horizontal="left" vertical="center" wrapText="1"/>
    </xf>
    <xf numFmtId="0" fontId="12" fillId="5" borderId="8" xfId="0" applyNumberFormat="1" applyFont="1" applyFill="1" applyBorder="1" applyAlignment="1">
      <alignment horizontal="left" vertical="center"/>
    </xf>
    <xf numFmtId="0" fontId="12" fillId="5" borderId="10" xfId="0" applyNumberFormat="1" applyFont="1" applyFill="1" applyBorder="1" applyAlignment="1">
      <alignment horizontal="left" vertical="center"/>
    </xf>
    <xf numFmtId="0" fontId="12" fillId="5" borderId="9" xfId="0" applyNumberFormat="1" applyFont="1" applyFill="1" applyBorder="1" applyAlignment="1">
      <alignment horizontal="left" vertical="center"/>
    </xf>
    <xf numFmtId="4" fontId="12" fillId="6" borderId="11" xfId="0" applyNumberFormat="1" applyFont="1" applyFill="1" applyBorder="1" applyAlignment="1">
      <alignment horizontal="center" vertical="center"/>
    </xf>
    <xf numFmtId="0" fontId="13" fillId="2" borderId="11" xfId="0" applyNumberFormat="1" applyFont="1" applyFill="1" applyBorder="1" applyAlignment="1">
      <alignment horizontal="center" vertical="center"/>
    </xf>
    <xf numFmtId="43" fontId="13" fillId="2" borderId="11" xfId="0" applyNumberFormat="1" applyFont="1" applyFill="1" applyBorder="1" applyAlignment="1">
      <alignment vertical="center"/>
    </xf>
    <xf numFmtId="179" fontId="12" fillId="7" borderId="11" xfId="0" applyNumberFormat="1" applyFont="1" applyFill="1" applyBorder="1" applyAlignment="1">
      <alignment vertical="center"/>
    </xf>
    <xf numFmtId="182" fontId="12" fillId="4" borderId="8" xfId="0" applyNumberFormat="1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center" vertical="center"/>
    </xf>
    <xf numFmtId="0" fontId="13" fillId="4" borderId="10" xfId="0" applyNumberFormat="1" applyFont="1" applyFill="1" applyBorder="1" applyAlignment="1">
      <alignment horizontal="center" vertical="center"/>
    </xf>
    <xf numFmtId="43" fontId="13" fillId="4" borderId="10" xfId="0" applyNumberFormat="1" applyFont="1" applyFill="1" applyBorder="1" applyAlignment="1">
      <alignment vertical="center"/>
    </xf>
    <xf numFmtId="4" fontId="13" fillId="4" borderId="9" xfId="0" applyNumberFormat="1" applyFont="1" applyFill="1" applyBorder="1" applyAlignment="1">
      <alignment vertical="center"/>
    </xf>
    <xf numFmtId="0" fontId="13" fillId="2" borderId="12" xfId="0" applyNumberFormat="1" applyFont="1" applyFill="1" applyBorder="1" applyAlignment="1">
      <alignment horizontal="left" vertical="center" wrapText="1"/>
    </xf>
    <xf numFmtId="0" fontId="13" fillId="2" borderId="12" xfId="0" applyNumberFormat="1" applyFont="1" applyFill="1" applyBorder="1" applyAlignment="1">
      <alignment horizontal="center" vertical="center"/>
    </xf>
    <xf numFmtId="179" fontId="13" fillId="2" borderId="12" xfId="0" applyNumberFormat="1" applyFont="1" applyFill="1" applyBorder="1" applyAlignment="1">
      <alignment vertical="center"/>
    </xf>
    <xf numFmtId="179" fontId="13" fillId="3" borderId="12" xfId="0" applyNumberFormat="1" applyFont="1" applyFill="1" applyBorder="1" applyAlignment="1">
      <alignment vertical="center"/>
    </xf>
    <xf numFmtId="0" fontId="12" fillId="2" borderId="7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 wrapText="1"/>
    </xf>
    <xf numFmtId="4" fontId="12" fillId="6" borderId="7" xfId="0" applyNumberFormat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179" fontId="12" fillId="7" borderId="7" xfId="2" applyNumberFormat="1" applyFont="1" applyFill="1" applyBorder="1" applyAlignment="1">
      <alignment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12" fillId="2" borderId="14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left" vertical="center" wrapText="1"/>
    </xf>
    <xf numFmtId="43" fontId="13" fillId="2" borderId="14" xfId="0" applyNumberFormat="1" applyFont="1" applyFill="1" applyBorder="1" applyAlignment="1">
      <alignment vertical="center"/>
    </xf>
    <xf numFmtId="183" fontId="13" fillId="3" borderId="7" xfId="0" applyNumberFormat="1" applyFont="1" applyFill="1" applyBorder="1" applyAlignment="1">
      <alignment vertical="center"/>
    </xf>
    <xf numFmtId="0" fontId="13" fillId="2" borderId="15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 wrapText="1"/>
    </xf>
    <xf numFmtId="43" fontId="13" fillId="2" borderId="0" xfId="0" applyNumberFormat="1" applyFont="1" applyFill="1" applyBorder="1" applyAlignment="1">
      <alignment vertical="center"/>
    </xf>
    <xf numFmtId="43" fontId="13" fillId="3" borderId="7" xfId="0" applyNumberFormat="1" applyFont="1" applyFill="1" applyBorder="1" applyAlignment="1">
      <alignment vertical="center"/>
    </xf>
    <xf numFmtId="176" fontId="2" fillId="0" borderId="0" xfId="0" applyNumberFormat="1" applyFont="1"/>
    <xf numFmtId="0" fontId="1" fillId="0" borderId="15" xfId="0" applyNumberFormat="1" applyFont="1" applyBorder="1" applyAlignment="1"/>
    <xf numFmtId="0" fontId="1" fillId="0" borderId="0" xfId="0" applyFont="1" applyBorder="1" applyAlignment="1"/>
    <xf numFmtId="179" fontId="1" fillId="0" borderId="0" xfId="0" applyNumberFormat="1" applyFont="1" applyBorder="1" applyAlignment="1"/>
    <xf numFmtId="0" fontId="1" fillId="0" borderId="7" xfId="0" applyFont="1" applyBorder="1" applyAlignment="1">
      <alignment horizontal="right" vertical="center"/>
    </xf>
    <xf numFmtId="184" fontId="12" fillId="3" borderId="7" xfId="0" applyNumberFormat="1" applyFont="1" applyFill="1" applyBorder="1" applyAlignment="1">
      <alignment vertical="center"/>
    </xf>
    <xf numFmtId="0" fontId="1" fillId="0" borderId="15" xfId="0" applyFont="1" applyBorder="1" applyAlignment="1"/>
    <xf numFmtId="0" fontId="1" fillId="2" borderId="7" xfId="0" applyFont="1" applyFill="1" applyBorder="1" applyAlignment="1">
      <alignment horizontal="right" vertical="center"/>
    </xf>
    <xf numFmtId="184" fontId="13" fillId="3" borderId="7" xfId="0" applyNumberFormat="1" applyFont="1" applyFill="1" applyBorder="1" applyAlignment="1">
      <alignment vertical="center"/>
    </xf>
    <xf numFmtId="184" fontId="12" fillId="8" borderId="7" xfId="0" applyNumberFormat="1" applyFont="1" applyFill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18" fillId="0" borderId="0" xfId="0" applyFont="1" applyAlignment="1"/>
    <xf numFmtId="0" fontId="2" fillId="0" borderId="0" xfId="0" applyFont="1" applyAlignment="1"/>
    <xf numFmtId="179" fontId="2" fillId="0" borderId="0" xfId="0" applyNumberFormat="1" applyFont="1" applyAlignme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9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79" fontId="18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128270</xdr:colOff>
      <xdr:row>41</xdr:row>
      <xdr:rowOff>184150</xdr:rowOff>
    </xdr:from>
    <xdr:to>
      <xdr:col>4</xdr:col>
      <xdr:colOff>239395</xdr:colOff>
      <xdr:row>46</xdr:row>
      <xdr:rowOff>177800</xdr:rowOff>
    </xdr:to>
    <xdr:sp>
      <xdr:nvSpPr>
        <xdr:cNvPr id="1042" name="Text Box 18"/>
        <xdr:cNvSpPr txBox="1">
          <a:spLocks noChangeArrowheads="1"/>
        </xdr:cNvSpPr>
      </xdr:nvSpPr>
      <xdr:spPr>
        <a:xfrm>
          <a:off x="128270" y="8347075"/>
          <a:ext cx="4121150" cy="9461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Quotation issued by:  ____________________________________________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This quotation is subject to the changes depending on the type of soil strata encountered during investigation and the</a:t>
          </a:r>
          <a:r>
            <a:rPr lang="en-US" sz="700" b="0" i="0" strike="noStrike" baseline="0">
              <a:solidFill>
                <a:srgbClr val="0070C0"/>
              </a:solidFill>
              <a:latin typeface="Trebuchet MS" panose="020B0603020202020204"/>
            </a:rPr>
            <a:t> nature of the project required.</a:t>
          </a: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To accept this quotation, sign here and return:  </a:t>
          </a:r>
          <a:r>
            <a:rPr lang="en-US" sz="600" b="0" i="0" strike="noStrike">
              <a:solidFill>
                <a:srgbClr val="000000"/>
              </a:solidFill>
              <a:latin typeface="Trebuchet MS" panose="020B0603020202020204"/>
            </a:rPr>
            <a:t>_______________________________________________</a:t>
          </a:r>
          <a:endParaRPr lang="en-US" sz="600" b="0" i="0" strike="noStrike">
            <a:solidFill>
              <a:srgbClr val="000000"/>
            </a:solidFill>
            <a:latin typeface="Trebuchet MS" panose="020B0603020202020204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47625</xdr:rowOff>
    </xdr:from>
    <xdr:to>
      <xdr:col>1</xdr:col>
      <xdr:colOff>495301</xdr:colOff>
      <xdr:row>1</xdr:row>
      <xdr:rowOff>19050</xdr:rowOff>
    </xdr:to>
    <xdr:pic>
      <xdr:nvPicPr>
        <xdr:cNvPr id="4" name="Picture 3" descr="pngcrest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10477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871829</xdr:colOff>
      <xdr:row>40</xdr:row>
      <xdr:rowOff>142875</xdr:rowOff>
    </xdr:from>
    <xdr:to>
      <xdr:col>3</xdr:col>
      <xdr:colOff>370179</xdr:colOff>
      <xdr:row>41</xdr:row>
      <xdr:rowOff>91502</xdr:rowOff>
    </xdr:to>
    <xdr:sp>
      <xdr:nvSpPr>
        <xdr:cNvPr id="5" name="TextBox 4"/>
        <xdr:cNvSpPr txBox="1"/>
      </xdr:nvSpPr>
      <xdr:spPr>
        <a:xfrm>
          <a:off x="1423670" y="8115300"/>
          <a:ext cx="1860550" cy="1390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>
              <a:latin typeface="Trebuchet MS" panose="020B0603020202020204" pitchFamily="34" charset="0"/>
            </a:rPr>
            <a:t>Leka H. Bonoro</a:t>
          </a:r>
          <a:endParaRPr lang="en-US" sz="1100">
            <a:latin typeface="Trebuchet MS" panose="020B0603020202020204" pitchFamily="34" charset="0"/>
          </a:endParaRPr>
        </a:p>
      </xdr:txBody>
    </xdr:sp>
    <xdr:clientData/>
  </xdr:twoCellAnchor>
  <xdr:twoCellAnchor editAs="oneCell">
    <xdr:from>
      <xdr:col>6</xdr:col>
      <xdr:colOff>523876</xdr:colOff>
      <xdr:row>0</xdr:row>
      <xdr:rowOff>107951</xdr:rowOff>
    </xdr:from>
    <xdr:to>
      <xdr:col>7</xdr:col>
      <xdr:colOff>674688</xdr:colOff>
      <xdr:row>2</xdr:row>
      <xdr:rowOff>125096</xdr:rowOff>
    </xdr:to>
    <xdr:pic>
      <xdr:nvPicPr>
        <xdr:cNvPr id="6" name="Picture 5" descr="C:\Users\dow.WKSBKO1DOM\Desktop\DoWH LOGO 2.jpg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57825" y="107950"/>
          <a:ext cx="845820" cy="8267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71439</xdr:colOff>
      <xdr:row>108</xdr:row>
      <xdr:rowOff>68263</xdr:rowOff>
    </xdr:from>
    <xdr:to>
      <xdr:col>4</xdr:col>
      <xdr:colOff>182563</xdr:colOff>
      <xdr:row>113</xdr:row>
      <xdr:rowOff>61913</xdr:rowOff>
    </xdr:to>
    <xdr:sp>
      <xdr:nvSpPr>
        <xdr:cNvPr id="16" name="Text Box 18"/>
        <xdr:cNvSpPr txBox="1">
          <a:spLocks noChangeArrowheads="1"/>
        </xdr:cNvSpPr>
      </xdr:nvSpPr>
      <xdr:spPr>
        <a:xfrm>
          <a:off x="71120" y="19890105"/>
          <a:ext cx="4121150" cy="85090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Quotation prepared by:  ____________________________________________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This quotation is subject to the changes depending on the type of soil strata encountered during investigation and the</a:t>
          </a:r>
          <a:r>
            <a:rPr lang="en-US" sz="700" b="0" i="0" strike="noStrike" baseline="0">
              <a:solidFill>
                <a:srgbClr val="0070C0"/>
              </a:solidFill>
              <a:latin typeface="Trebuchet MS" panose="020B0603020202020204"/>
            </a:rPr>
            <a:t> nature of the project required.</a:t>
          </a: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To accept this quotation, sign here and return:  </a:t>
          </a:r>
          <a:r>
            <a:rPr lang="en-US" sz="600" b="0" i="0" strike="noStrike">
              <a:solidFill>
                <a:srgbClr val="000000"/>
              </a:solidFill>
              <a:latin typeface="Trebuchet MS" panose="020B0603020202020204"/>
            </a:rPr>
            <a:t>_______________________________________________</a:t>
          </a:r>
          <a:endParaRPr lang="en-US" sz="600" b="0" i="0" strike="noStrike">
            <a:solidFill>
              <a:srgbClr val="000000"/>
            </a:solidFill>
            <a:latin typeface="Trebuchet MS" panose="020B0603020202020204"/>
          </a:endParaRPr>
        </a:p>
      </xdr:txBody>
    </xdr:sp>
    <xdr:clientData/>
  </xdr:twoCellAnchor>
  <xdr:twoCellAnchor editAs="absolute">
    <xdr:from>
      <xdr:col>0</xdr:col>
      <xdr:colOff>150813</xdr:colOff>
      <xdr:row>172</xdr:row>
      <xdr:rowOff>84138</xdr:rowOff>
    </xdr:from>
    <xdr:to>
      <xdr:col>4</xdr:col>
      <xdr:colOff>261937</xdr:colOff>
      <xdr:row>177</xdr:row>
      <xdr:rowOff>77788</xdr:rowOff>
    </xdr:to>
    <xdr:sp>
      <xdr:nvSpPr>
        <xdr:cNvPr id="17" name="Text Box 18"/>
        <xdr:cNvSpPr txBox="1">
          <a:spLocks noChangeArrowheads="1"/>
        </xdr:cNvSpPr>
      </xdr:nvSpPr>
      <xdr:spPr>
        <a:xfrm>
          <a:off x="150495" y="30878780"/>
          <a:ext cx="4121150" cy="85090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Quotation prepared by:  ____________________________________________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This quotation is subject to the changes depending on the type of soil strata encountered during investigation and the</a:t>
          </a:r>
          <a:r>
            <a:rPr lang="en-US" sz="700" b="0" i="0" strike="noStrike" baseline="0">
              <a:solidFill>
                <a:srgbClr val="0070C0"/>
              </a:solidFill>
              <a:latin typeface="Trebuchet MS" panose="020B0603020202020204"/>
            </a:rPr>
            <a:t> nature of the project required.</a:t>
          </a: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 </a:t>
          </a:r>
          <a:endParaRPr lang="en-US" sz="700" b="0" i="0" strike="noStrike">
            <a:solidFill>
              <a:srgbClr val="0070C0"/>
            </a:solidFill>
            <a:latin typeface="Trebuchet MS" panose="020B0603020202020204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70C0"/>
              </a:solidFill>
              <a:latin typeface="Trebuchet MS" panose="020B0603020202020204"/>
            </a:rPr>
            <a:t>To accept this quotation, sign here and return:  </a:t>
          </a:r>
          <a:r>
            <a:rPr lang="en-US" sz="600" b="0" i="0" strike="noStrike">
              <a:solidFill>
                <a:srgbClr val="000000"/>
              </a:solidFill>
              <a:latin typeface="Trebuchet MS" panose="020B0603020202020204"/>
            </a:rPr>
            <a:t>_______________________________________________</a:t>
          </a:r>
          <a:endParaRPr lang="en-US" sz="600" b="0" i="0" strike="noStrike">
            <a:solidFill>
              <a:srgbClr val="000000"/>
            </a:solidFill>
            <a:latin typeface="Trebuchet MS" panose="020B0603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6"/>
  <sheetViews>
    <sheetView showGridLines="0" tabSelected="1" zoomScale="120" zoomScaleNormal="120" zoomScalePageLayoutView="110" workbookViewId="0">
      <selection activeCell="C48" sqref="C48"/>
    </sheetView>
  </sheetViews>
  <sheetFormatPr defaultColWidth="9.14285714285714" defaultRowHeight="13.5"/>
  <cols>
    <col min="1" max="1" width="8.28571428571429" style="3" customWidth="1"/>
    <col min="2" max="2" width="13.7142857142857" style="3" customWidth="1"/>
    <col min="3" max="3" width="21.7142857142857" style="3" customWidth="1"/>
    <col min="4" max="4" width="16.4285714285714" style="4" customWidth="1"/>
    <col min="5" max="5" width="8.42857142857143" style="3" customWidth="1"/>
    <col min="6" max="6" width="5.42857142857143" style="3" customWidth="1"/>
    <col min="7" max="7" width="10.4285714285714" style="3" customWidth="1"/>
    <col min="8" max="8" width="15.2857142857143" style="3" customWidth="1"/>
    <col min="9" max="10" width="9.14285714285714" style="3"/>
    <col min="11" max="11" width="11.2857142857143" style="3" customWidth="1"/>
    <col min="12" max="12" width="10.7142857142857" style="3" customWidth="1"/>
    <col min="13" max="16384" width="9.14285714285714" style="3"/>
  </cols>
  <sheetData>
    <row r="1" ht="58.5" customHeight="1" spans="1:9">
      <c r="A1" s="5"/>
      <c r="B1" s="6"/>
      <c r="C1" s="7" t="s">
        <v>0</v>
      </c>
      <c r="D1" s="8"/>
      <c r="E1" s="9"/>
      <c r="F1" s="9"/>
      <c r="G1" s="10"/>
      <c r="H1" s="9"/>
      <c r="I1" s="11"/>
    </row>
    <row r="2" ht="5.25" customHeight="1" spans="1:9">
      <c r="A2" s="12"/>
      <c r="B2" s="12"/>
      <c r="C2" s="12"/>
      <c r="D2" s="13"/>
      <c r="E2" s="14"/>
      <c r="F2" s="14"/>
      <c r="G2" s="15"/>
      <c r="H2" s="16"/>
      <c r="I2" s="17"/>
    </row>
    <row r="3" ht="15" customHeight="1" spans="1:9">
      <c r="A3" s="18" t="s">
        <v>1</v>
      </c>
      <c r="B3" s="18"/>
      <c r="C3" s="18"/>
      <c r="D3" s="18"/>
      <c r="E3" s="18"/>
      <c r="F3" s="18"/>
      <c r="G3" s="18"/>
      <c r="H3" s="18"/>
      <c r="I3" s="17"/>
    </row>
    <row r="4" ht="18" customHeight="1" spans="1:9">
      <c r="A4" s="19" t="s">
        <v>2</v>
      </c>
      <c r="B4" s="19"/>
      <c r="C4" s="19"/>
      <c r="D4" s="19"/>
      <c r="E4" s="19"/>
      <c r="F4" s="19"/>
      <c r="G4" s="19"/>
      <c r="H4" s="19"/>
      <c r="I4" s="17"/>
    </row>
    <row r="5" s="1" customFormat="1" ht="14.1" customHeight="1" spans="1:9">
      <c r="A5" s="20"/>
      <c r="B5" s="20"/>
      <c r="C5" s="20"/>
      <c r="D5" s="21"/>
      <c r="E5" s="22"/>
      <c r="F5" s="22"/>
      <c r="G5" s="22"/>
      <c r="H5" s="22"/>
      <c r="I5" s="23"/>
    </row>
    <row r="6" s="1" customFormat="1" ht="14.1" customHeight="1" spans="1:9">
      <c r="A6" s="24"/>
      <c r="B6" s="24"/>
      <c r="C6" s="24"/>
      <c r="D6" s="21"/>
      <c r="E6" s="22"/>
      <c r="F6" s="22"/>
      <c r="G6" s="15" t="s">
        <v>3</v>
      </c>
      <c r="H6" s="25"/>
      <c r="I6" s="23"/>
    </row>
    <row r="7" s="1" customFormat="1" ht="14.1" customHeight="1" spans="1:9">
      <c r="A7" s="24"/>
      <c r="B7" s="24"/>
      <c r="C7" s="24"/>
      <c r="D7" s="26"/>
      <c r="E7" s="24"/>
      <c r="F7" s="24"/>
      <c r="G7" s="15" t="s">
        <v>4</v>
      </c>
      <c r="H7" s="27"/>
      <c r="I7" s="23"/>
    </row>
    <row r="8" s="1" customFormat="1" ht="14.1" customHeight="1" spans="1:9">
      <c r="A8" s="15" t="s">
        <v>5</v>
      </c>
      <c r="B8" s="27" t="s">
        <v>6</v>
      </c>
      <c r="C8" s="27"/>
      <c r="D8" s="26"/>
      <c r="E8" s="24"/>
      <c r="F8" s="24"/>
      <c r="G8" s="15"/>
      <c r="H8" s="27"/>
      <c r="I8" s="23"/>
    </row>
    <row r="9" s="1" customFormat="1" ht="14.1" customHeight="1" spans="1:9">
      <c r="A9" s="27"/>
      <c r="B9" s="28" t="s">
        <v>7</v>
      </c>
      <c r="C9" s="28"/>
      <c r="D9" s="29"/>
      <c r="E9" s="30"/>
      <c r="F9" s="30"/>
      <c r="G9" s="31"/>
      <c r="H9" s="32"/>
      <c r="I9" s="23"/>
    </row>
    <row r="10" s="1" customFormat="1" ht="14.1" customHeight="1" spans="1:9">
      <c r="A10" s="30"/>
      <c r="B10" s="27" t="s">
        <v>8</v>
      </c>
      <c r="C10" s="27"/>
      <c r="D10" s="29"/>
      <c r="E10" s="30"/>
      <c r="F10" s="30"/>
      <c r="G10" s="33"/>
      <c r="H10" s="34"/>
      <c r="I10" s="23"/>
    </row>
    <row r="11" s="1" customFormat="1" ht="14.1" customHeight="1" spans="1:9">
      <c r="A11" s="30"/>
      <c r="B11" s="27" t="s">
        <v>9</v>
      </c>
      <c r="C11" s="27"/>
      <c r="D11" s="35"/>
      <c r="E11" s="15"/>
      <c r="F11" s="15"/>
      <c r="G11" s="36"/>
      <c r="H11" s="37"/>
      <c r="I11" s="23"/>
    </row>
    <row r="12" s="1" customFormat="1" ht="14.1" customHeight="1" spans="1:9">
      <c r="A12" s="30"/>
      <c r="B12" s="27"/>
      <c r="C12" s="27"/>
      <c r="D12" s="35"/>
      <c r="E12" s="15"/>
      <c r="F12" s="15"/>
      <c r="G12" s="36"/>
      <c r="H12" s="37"/>
      <c r="I12" s="23"/>
    </row>
    <row r="13" s="1" customFormat="1" ht="14.1" customHeight="1" spans="1:9">
      <c r="A13" s="30"/>
      <c r="B13" s="15"/>
      <c r="D13" s="38"/>
      <c r="E13" s="30"/>
      <c r="F13" s="30"/>
      <c r="G13" s="39"/>
      <c r="H13" s="40"/>
      <c r="I13" s="23"/>
    </row>
    <row r="14" s="1" customFormat="1" ht="14.1" customHeight="1" spans="1:9">
      <c r="A14" s="41" t="s">
        <v>10</v>
      </c>
      <c r="B14" s="41"/>
      <c r="C14" s="41"/>
      <c r="D14" s="41"/>
      <c r="E14" s="41"/>
      <c r="F14" s="41"/>
      <c r="G14" s="41"/>
      <c r="H14" s="41"/>
      <c r="I14" s="23"/>
    </row>
    <row r="15" ht="15" customHeight="1" spans="1:9">
      <c r="A15" s="42" t="s">
        <v>11</v>
      </c>
      <c r="B15" s="42"/>
      <c r="C15" s="42" t="s">
        <v>12</v>
      </c>
      <c r="D15" s="42"/>
      <c r="E15" s="42"/>
      <c r="F15" s="42"/>
      <c r="G15" s="42"/>
      <c r="H15" s="43" t="s">
        <v>13</v>
      </c>
    </row>
    <row r="16" ht="15" customHeight="1" spans="1:9">
      <c r="A16" s="44" t="s">
        <v>14</v>
      </c>
      <c r="B16" s="45"/>
      <c r="C16" s="44" t="s">
        <v>15</v>
      </c>
      <c r="D16" s="46"/>
      <c r="E16" s="46"/>
      <c r="F16" s="46"/>
      <c r="G16" s="45"/>
      <c r="H16" s="47" t="s">
        <v>16</v>
      </c>
    </row>
    <row r="17" ht="15" customHeight="1" spans="1:11">
      <c r="A17" s="42" t="s">
        <v>17</v>
      </c>
      <c r="B17" s="42" t="s">
        <v>18</v>
      </c>
      <c r="C17" s="42"/>
      <c r="D17" s="42"/>
      <c r="E17" s="42" t="s">
        <v>19</v>
      </c>
      <c r="F17" s="42" t="s">
        <v>20</v>
      </c>
      <c r="G17" s="42" t="s">
        <v>21</v>
      </c>
      <c r="H17" s="48" t="s">
        <v>22</v>
      </c>
    </row>
    <row r="18" ht="15" customHeight="1" spans="1:11">
      <c r="A18" s="49">
        <v>1</v>
      </c>
      <c r="B18" s="50" t="s">
        <v>23</v>
      </c>
      <c r="C18" s="51"/>
      <c r="D18" s="51"/>
      <c r="E18" s="51"/>
      <c r="F18" s="51"/>
      <c r="G18" s="51"/>
      <c r="H18" s="52"/>
    </row>
    <row r="19" ht="15" customHeight="1" spans="1:11">
      <c r="A19" s="53">
        <v>1.1</v>
      </c>
      <c r="B19" s="54" t="s">
        <v>24</v>
      </c>
      <c r="C19" s="55"/>
      <c r="D19" s="56"/>
      <c r="E19" s="57">
        <v>3</v>
      </c>
      <c r="F19" s="57" t="s">
        <v>25</v>
      </c>
      <c r="G19" s="58">
        <v>100</v>
      </c>
      <c r="H19" s="59">
        <f t="shared" ref="H19:H20" si="0">IF(SUM(E19)&gt;0,SUM(E19*G19),"")</f>
        <v>300</v>
      </c>
      <c r="K19" s="60"/>
    </row>
    <row r="20" ht="15" customHeight="1" spans="1:11">
      <c r="A20" s="53">
        <v>1.2</v>
      </c>
      <c r="B20" s="54" t="s">
        <v>26</v>
      </c>
      <c r="C20" s="55"/>
      <c r="D20" s="56"/>
      <c r="E20" s="57">
        <v>4</v>
      </c>
      <c r="F20" s="57" t="s">
        <v>27</v>
      </c>
      <c r="G20" s="58">
        <v>350</v>
      </c>
      <c r="H20" s="59">
        <f t="shared" si="0"/>
        <v>1400</v>
      </c>
      <c r="K20" s="60"/>
    </row>
    <row r="21" ht="15" customHeight="1" spans="1:11">
      <c r="A21" s="53">
        <v>1.3</v>
      </c>
      <c r="B21" s="54" t="s">
        <v>28</v>
      </c>
      <c r="C21" s="55"/>
      <c r="D21" s="56"/>
      <c r="E21" s="57"/>
      <c r="F21" s="57"/>
      <c r="G21" s="58"/>
      <c r="H21" s="59"/>
      <c r="K21" s="60"/>
    </row>
    <row r="22" ht="15" customHeight="1" spans="1:11">
      <c r="A22" s="53"/>
      <c r="B22" s="61" t="s">
        <v>29</v>
      </c>
      <c r="C22" s="62"/>
      <c r="D22" s="63"/>
      <c r="E22" s="64"/>
      <c r="F22" s="65"/>
      <c r="G22" s="66"/>
      <c r="H22" s="67">
        <f>SUM(H19:H20)</f>
        <v>1700</v>
      </c>
    </row>
    <row r="23" ht="15" customHeight="1" spans="1:11">
      <c r="A23" s="49">
        <v>2</v>
      </c>
      <c r="B23" s="68" t="s">
        <v>30</v>
      </c>
      <c r="C23" s="69"/>
      <c r="D23" s="69"/>
      <c r="E23" s="69"/>
      <c r="F23" s="69"/>
      <c r="G23" s="69"/>
      <c r="H23" s="70"/>
    </row>
    <row r="24" ht="15" customHeight="1" spans="1:11">
      <c r="A24" s="53">
        <v>2.2</v>
      </c>
      <c r="B24" s="71" t="s">
        <v>31</v>
      </c>
      <c r="C24" s="72"/>
      <c r="D24" s="73"/>
      <c r="E24" s="53">
        <v>15</v>
      </c>
      <c r="F24" s="53" t="s">
        <v>27</v>
      </c>
      <c r="G24" s="74">
        <v>45</v>
      </c>
      <c r="H24" s="75">
        <f>IF(SUM(E24)&gt;0,SUM(E24*G24),"")</f>
        <v>675</v>
      </c>
    </row>
    <row r="25" ht="15" customHeight="1" spans="1:11">
      <c r="A25" s="53">
        <v>2.3</v>
      </c>
      <c r="B25" s="76" t="s">
        <v>32</v>
      </c>
      <c r="C25" s="72"/>
      <c r="D25" s="73"/>
      <c r="E25" s="53">
        <v>8</v>
      </c>
      <c r="F25" s="53" t="s">
        <v>33</v>
      </c>
      <c r="G25" s="74">
        <v>195</v>
      </c>
      <c r="H25" s="75">
        <f>IF(SUM(E25)&gt;0,SUM(E25*G25),"")</f>
        <v>1560</v>
      </c>
    </row>
    <row r="26" ht="15" customHeight="1" spans="1:11">
      <c r="A26" s="53">
        <v>2.4</v>
      </c>
      <c r="B26" s="76"/>
      <c r="C26" s="77"/>
      <c r="D26" s="78"/>
      <c r="E26" s="53"/>
      <c r="F26" s="53" t="s">
        <v>33</v>
      </c>
      <c r="G26" s="74">
        <v>100</v>
      </c>
      <c r="H26" s="75" t="str">
        <f>IF(SUM(E26)&gt;0,SUM(E26*G26),"")</f>
        <v/>
      </c>
    </row>
    <row r="27" ht="15" customHeight="1" spans="1:11">
      <c r="A27" s="53"/>
      <c r="B27" s="61" t="s">
        <v>29</v>
      </c>
      <c r="C27" s="62"/>
      <c r="D27" s="63"/>
      <c r="E27" s="79"/>
      <c r="F27" s="53"/>
      <c r="G27" s="80"/>
      <c r="H27" s="81">
        <f>SUM(H24:H26)</f>
        <v>2235</v>
      </c>
    </row>
    <row r="28" ht="15" customHeight="1" spans="1:11">
      <c r="A28" s="49">
        <v>3</v>
      </c>
      <c r="B28" s="82" t="s">
        <v>34</v>
      </c>
      <c r="C28" s="83"/>
      <c r="D28" s="83"/>
      <c r="E28" s="83"/>
      <c r="F28" s="83"/>
      <c r="G28" s="83"/>
      <c r="H28" s="84"/>
    </row>
    <row r="29" ht="15" customHeight="1" spans="1:11">
      <c r="A29" s="85">
        <v>3.1</v>
      </c>
      <c r="B29" s="86" t="s">
        <v>35</v>
      </c>
      <c r="C29" s="87"/>
      <c r="D29" s="88"/>
      <c r="E29" s="89"/>
      <c r="F29" s="53"/>
      <c r="G29" s="74"/>
      <c r="H29" s="75" t="str">
        <f t="shared" ref="H29:H35" si="1">IF(SUM(E29)&gt;0,SUM(E29*G29),"")</f>
        <v/>
      </c>
    </row>
    <row r="30" ht="15" customHeight="1" spans="1:11">
      <c r="A30" s="53" t="s">
        <v>36</v>
      </c>
      <c r="B30" s="90" t="s">
        <v>37</v>
      </c>
      <c r="C30" s="90"/>
      <c r="D30" s="90"/>
      <c r="E30" s="53">
        <v>4</v>
      </c>
      <c r="F30" s="53" t="s">
        <v>38</v>
      </c>
      <c r="G30" s="74">
        <v>35</v>
      </c>
      <c r="H30" s="75">
        <f t="shared" si="1"/>
        <v>140</v>
      </c>
    </row>
    <row r="31" ht="15" customHeight="1" spans="1:11">
      <c r="A31" s="53" t="s">
        <v>39</v>
      </c>
      <c r="B31" s="54" t="s">
        <v>40</v>
      </c>
      <c r="C31" s="72"/>
      <c r="D31" s="91"/>
      <c r="E31" s="53">
        <v>4</v>
      </c>
      <c r="F31" s="53" t="s">
        <v>38</v>
      </c>
      <c r="G31" s="74">
        <v>170</v>
      </c>
      <c r="H31" s="75">
        <f t="shared" si="1"/>
        <v>680</v>
      </c>
    </row>
    <row r="32" ht="15" customHeight="1" spans="1:11">
      <c r="A32" s="53" t="s">
        <v>41</v>
      </c>
      <c r="B32" s="90" t="s">
        <v>42</v>
      </c>
      <c r="C32" s="90"/>
      <c r="D32" s="90"/>
      <c r="E32" s="53">
        <v>4</v>
      </c>
      <c r="F32" s="53" t="s">
        <v>38</v>
      </c>
      <c r="G32" s="74">
        <v>55</v>
      </c>
      <c r="H32" s="75">
        <f t="shared" si="1"/>
        <v>220</v>
      </c>
    </row>
    <row r="33" ht="15" customHeight="1" spans="1:12">
      <c r="A33" s="53" t="s">
        <v>43</v>
      </c>
      <c r="B33" s="90" t="s">
        <v>44</v>
      </c>
      <c r="C33" s="90"/>
      <c r="D33" s="90"/>
      <c r="E33" s="53">
        <v>4</v>
      </c>
      <c r="F33" s="53" t="s">
        <v>38</v>
      </c>
      <c r="G33" s="74">
        <v>165</v>
      </c>
      <c r="H33" s="75">
        <f t="shared" si="1"/>
        <v>660</v>
      </c>
    </row>
    <row r="34" ht="15" customHeight="1" spans="1:12">
      <c r="A34" s="53" t="s">
        <v>45</v>
      </c>
      <c r="B34" s="54" t="s">
        <v>46</v>
      </c>
      <c r="C34" s="72"/>
      <c r="D34" s="91"/>
      <c r="E34" s="53">
        <v>2</v>
      </c>
      <c r="F34" s="53" t="s">
        <v>38</v>
      </c>
      <c r="G34" s="74">
        <v>175</v>
      </c>
      <c r="H34" s="75">
        <f t="shared" si="1"/>
        <v>350</v>
      </c>
    </row>
    <row r="35" ht="15" customHeight="1" spans="1:12">
      <c r="A35" s="53" t="s">
        <v>47</v>
      </c>
      <c r="B35" s="54" t="s">
        <v>48</v>
      </c>
      <c r="C35" s="72"/>
      <c r="D35" s="91"/>
      <c r="E35" s="53">
        <v>2</v>
      </c>
      <c r="F35" s="53" t="s">
        <v>38</v>
      </c>
      <c r="G35" s="74">
        <v>260</v>
      </c>
      <c r="H35" s="75">
        <f t="shared" si="1"/>
        <v>520</v>
      </c>
    </row>
    <row r="36" ht="15" customHeight="1" spans="1:12">
      <c r="A36" s="53"/>
      <c r="B36" s="92" t="s">
        <v>29</v>
      </c>
      <c r="C36" s="93"/>
      <c r="D36" s="94"/>
      <c r="E36" s="95"/>
      <c r="F36" s="96"/>
      <c r="G36" s="97"/>
      <c r="H36" s="98">
        <f>SUM(H29:H35)</f>
        <v>2570</v>
      </c>
    </row>
    <row r="37" ht="15" customHeight="1" spans="1:12">
      <c r="A37" s="99">
        <v>4</v>
      </c>
      <c r="B37" s="68" t="s">
        <v>49</v>
      </c>
      <c r="C37" s="69"/>
      <c r="D37" s="69"/>
      <c r="E37" s="100"/>
      <c r="F37" s="101"/>
      <c r="G37" s="102"/>
      <c r="H37" s="103"/>
    </row>
    <row r="38" ht="15" customHeight="1" spans="1:12">
      <c r="A38" s="53">
        <v>4.1</v>
      </c>
      <c r="B38" s="104" t="s">
        <v>50</v>
      </c>
      <c r="C38" s="104"/>
      <c r="D38" s="104"/>
      <c r="E38" s="105">
        <v>1</v>
      </c>
      <c r="F38" s="105" t="s">
        <v>33</v>
      </c>
      <c r="G38" s="106">
        <v>250</v>
      </c>
      <c r="H38" s="107">
        <f>G38</f>
        <v>250</v>
      </c>
    </row>
    <row r="39" ht="15" customHeight="1" spans="1:12">
      <c r="A39" s="53">
        <v>4.2</v>
      </c>
      <c r="B39" s="104" t="s">
        <v>51</v>
      </c>
      <c r="C39" s="104"/>
      <c r="D39" s="104"/>
      <c r="E39" s="105">
        <v>1</v>
      </c>
      <c r="F39" s="105" t="s">
        <v>33</v>
      </c>
      <c r="G39" s="106">
        <v>250</v>
      </c>
      <c r="H39" s="107">
        <f>G39</f>
        <v>250</v>
      </c>
    </row>
    <row r="40" ht="15" customHeight="1" spans="1:12">
      <c r="A40" s="108"/>
      <c r="B40" s="61" t="s">
        <v>29</v>
      </c>
      <c r="C40" s="109"/>
      <c r="D40" s="110"/>
      <c r="E40" s="111"/>
      <c r="F40" s="112"/>
      <c r="G40" s="80"/>
      <c r="H40" s="113">
        <f>SUM(H38:H39)</f>
        <v>500</v>
      </c>
    </row>
    <row r="41" ht="15" customHeight="1" spans="1:12">
      <c r="A41" s="114"/>
      <c r="B41" s="115"/>
      <c r="C41" s="115"/>
      <c r="D41" s="115"/>
      <c r="E41" s="116"/>
      <c r="F41" s="116"/>
      <c r="G41" s="117"/>
      <c r="H41" s="118"/>
    </row>
    <row r="42" ht="15" customHeight="1" spans="1:12">
      <c r="A42" s="119"/>
      <c r="B42" s="60"/>
      <c r="C42" s="120"/>
      <c r="D42" s="120"/>
      <c r="E42" s="120"/>
      <c r="F42" s="120"/>
      <c r="G42" s="121"/>
      <c r="H42" s="122" t="str">
        <f>IF(SUM(A42)&gt;0,SUM(A42*G42),"")</f>
        <v/>
      </c>
    </row>
    <row r="43" ht="15" customHeight="1" spans="1:12">
      <c r="A43" s="119"/>
      <c r="B43" s="60"/>
      <c r="C43" s="60"/>
      <c r="D43" s="60"/>
      <c r="E43" s="60"/>
      <c r="F43" s="60"/>
      <c r="G43" s="121"/>
      <c r="H43" s="122" t="str">
        <f>IF(SUM(A43)&gt;0,SUM(A43*G43),"")</f>
        <v/>
      </c>
    </row>
    <row r="44" ht="15" customHeight="1" spans="1:12">
      <c r="A44" s="119"/>
      <c r="B44" s="60"/>
      <c r="C44" s="120"/>
      <c r="D44" s="120"/>
      <c r="E44" s="120"/>
      <c r="F44" s="120"/>
      <c r="G44" s="121"/>
      <c r="H44" s="122" t="str">
        <f>IF(SUM(A44)&gt;0,SUM(A44*G44),"")</f>
        <v/>
      </c>
      <c r="L44" s="123"/>
    </row>
    <row r="45" ht="15" customHeight="1" spans="1:12">
      <c r="A45" s="119"/>
      <c r="B45" s="60"/>
      <c r="C45" s="120"/>
      <c r="D45" s="120"/>
      <c r="E45" s="120"/>
      <c r="F45" s="120"/>
      <c r="G45" s="121"/>
      <c r="H45" s="122" t="str">
        <f>IF(SUM(A45)&gt;0,SUM(A45*G45),"")</f>
        <v/>
      </c>
    </row>
    <row r="46" ht="15" customHeight="1" spans="1:12">
      <c r="A46" s="124"/>
      <c r="B46" s="125"/>
      <c r="C46" s="125"/>
      <c r="D46" s="126"/>
      <c r="E46" s="125"/>
      <c r="F46" s="125"/>
      <c r="G46" s="127" t="s">
        <v>52</v>
      </c>
      <c r="H46" s="128">
        <f>SUM(H22+H27+H36+H40)</f>
        <v>7005</v>
      </c>
    </row>
    <row r="47" ht="15" customHeight="1" spans="1:12">
      <c r="A47" s="129"/>
      <c r="B47" s="125"/>
      <c r="C47" s="125"/>
      <c r="D47" s="126"/>
      <c r="E47" s="125"/>
      <c r="F47" s="125"/>
      <c r="G47" s="130" t="s">
        <v>53</v>
      </c>
      <c r="H47" s="131">
        <f>SUM(H46*0.03)</f>
        <v>210.15</v>
      </c>
    </row>
    <row r="48" ht="15.95" customHeight="1" spans="1:12">
      <c r="A48" s="129"/>
      <c r="B48" s="125"/>
      <c r="D48" s="126"/>
      <c r="E48" s="125"/>
      <c r="F48" s="125"/>
      <c r="G48" s="127" t="s">
        <v>54</v>
      </c>
      <c r="H48" s="132">
        <f>IF(SUM(H46)&gt;0,SUM((H46),)+H47)</f>
        <v>7215.15</v>
      </c>
    </row>
    <row r="49" ht="15" customHeight="1" spans="1:9">
      <c r="A49" s="133" t="s">
        <v>55</v>
      </c>
      <c r="B49" s="134"/>
      <c r="C49" s="134"/>
      <c r="D49" s="134"/>
      <c r="E49" s="134"/>
      <c r="F49" s="134"/>
      <c r="G49" s="134"/>
      <c r="H49" s="135"/>
      <c r="I49" s="136"/>
    </row>
    <row r="50" ht="9.95" customHeight="1"/>
    <row r="51" s="2" customFormat="1" ht="15" customHeight="1" spans="1:9">
      <c r="A51" s="3"/>
      <c r="B51" s="3"/>
      <c r="C51" s="3"/>
      <c r="D51" s="4"/>
      <c r="E51" s="3"/>
      <c r="F51" s="3"/>
      <c r="G51" s="3"/>
      <c r="H51" s="3"/>
      <c r="I51" s="137"/>
    </row>
    <row r="52" ht="15.95" customHeight="1" spans="1:9">
      <c r="A52" s="2"/>
      <c r="B52" s="2"/>
      <c r="C52" s="2"/>
      <c r="D52" s="138"/>
      <c r="E52" s="2"/>
      <c r="F52" s="2"/>
      <c r="G52" s="2"/>
      <c r="H52" s="2"/>
    </row>
    <row r="53" ht="15.95" customHeight="1" spans="1:9">
      <c r="B53" s="139"/>
      <c r="C53" s="140"/>
      <c r="D53" s="141"/>
      <c r="E53" s="140"/>
      <c r="F53" s="140"/>
      <c r="G53" s="140"/>
    </row>
    <row r="54" ht="11.25" customHeight="1" spans="1:9">
      <c r="B54" s="142"/>
      <c r="C54" s="143"/>
      <c r="D54" s="144"/>
      <c r="E54" s="143"/>
      <c r="F54" s="143"/>
      <c r="G54" s="143"/>
    </row>
    <row r="56" spans="1:9">
      <c r="A56" s="145"/>
      <c r="B56" s="146"/>
      <c r="C56" s="146"/>
      <c r="D56" s="147"/>
      <c r="E56" s="146"/>
      <c r="F56" s="146"/>
      <c r="G56" s="146"/>
      <c r="H56" s="146"/>
    </row>
  </sheetData>
  <mergeCells count="36">
    <mergeCell ref="A3:H3"/>
    <mergeCell ref="A4:H4"/>
    <mergeCell ref="B8:C8"/>
    <mergeCell ref="G10:H10"/>
    <mergeCell ref="A14:H14"/>
    <mergeCell ref="A15:B15"/>
    <mergeCell ref="C15:G15"/>
    <mergeCell ref="A16:B16"/>
    <mergeCell ref="C16:G16"/>
    <mergeCell ref="B17:D17"/>
    <mergeCell ref="B18:H18"/>
    <mergeCell ref="B19:D19"/>
    <mergeCell ref="B20:D20"/>
    <mergeCell ref="B22:D22"/>
    <mergeCell ref="B23:H23"/>
    <mergeCell ref="B24:D24"/>
    <mergeCell ref="B25:D25"/>
    <mergeCell ref="B26:D26"/>
    <mergeCell ref="B27:D27"/>
    <mergeCell ref="B28:H28"/>
    <mergeCell ref="B29:D29"/>
    <mergeCell ref="B30:D30"/>
    <mergeCell ref="B32:D32"/>
    <mergeCell ref="B33:D33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A49:H49"/>
    <mergeCell ref="G11:H12"/>
  </mergeCells>
  <conditionalFormatting sqref="H48">
    <cfRule type="colorScale" priority="4">
      <colorScale>
        <cfvo type="min"/>
        <cfvo type="max"/>
        <color rgb="FFFF7128"/>
        <color rgb="FFFFEF9C"/>
      </colorScale>
    </cfRule>
  </conditionalFormatting>
  <printOptions horizontalCentered="1"/>
  <pageMargins left="0.25" right="0.25" top="0.75" bottom="0.75" header="0.3" footer="0.3"/>
  <pageSetup paperSize="9" scale="99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H51"/>
    </sheetView>
  </sheetViews>
  <sheetFormatPr defaultColWidth="9" defaultRowHeight="12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Service Quote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 H Bonoro</dc:creator>
  <cp:lastModifiedBy>Leka Heve Bonoro</cp:lastModifiedBy>
  <dcterms:created xsi:type="dcterms:W3CDTF">2006-01-23T19:37:00Z</dcterms:created>
  <cp:lastPrinted>2024-02-12T06:28:00Z</cp:lastPrinted>
  <dcterms:modified xsi:type="dcterms:W3CDTF">2026-04-05T14:17:22Z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TC101514371033</vt:lpwstr>
  </property>
  <property fmtid="{D5CDD505-2E9C-101B-9397-08002B2CF9AE}" pid="3" name="ICV">
    <vt:lpwstr>5138144F2BA0418F97191985FEA5226F_13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